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briur\OneDrive\Documentos\"/>
    </mc:Choice>
  </mc:AlternateContent>
  <xr:revisionPtr revIDLastSave="0" documentId="8_{EA2186C6-C7FB-4D1F-99F7-46DA96F7AB13}" xr6:coauthVersionLast="47" xr6:coauthVersionMax="47" xr10:uidLastSave="{00000000-0000-0000-0000-000000000000}"/>
  <bookViews>
    <workbookView xWindow="-120" yWindow="-120" windowWidth="29040" windowHeight="15990" firstSheet="12" activeTab="12" xr2:uid="{00000000-000D-0000-FFFF-FFFF00000000}"/>
  </bookViews>
  <sheets>
    <sheet name="Fevereiro" sheetId="2" state="hidden" r:id="rId1"/>
    <sheet name="Janeiro 2025" sheetId="46" r:id="rId2"/>
    <sheet name="Fevereiro 2025" sheetId="47" r:id="rId3"/>
    <sheet name="Março 2025" sheetId="48" r:id="rId4"/>
    <sheet name="Abril 2025" sheetId="49" r:id="rId5"/>
    <sheet name="Maio 2025" sheetId="50" r:id="rId6"/>
    <sheet name="Junho 2025" sheetId="51" r:id="rId7"/>
    <sheet name="Julho 2025" sheetId="52" r:id="rId8"/>
    <sheet name="Agosto 2025" sheetId="53" r:id="rId9"/>
    <sheet name="Setembro 2025" sheetId="55" r:id="rId10"/>
    <sheet name="Outubro 2025" sheetId="57" r:id="rId11"/>
    <sheet name="Novembro 2025" sheetId="59" r:id="rId12"/>
    <sheet name="Dezembro 2025" sheetId="6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61" l="1"/>
  <c r="C6" i="61"/>
  <c r="L2" i="61"/>
  <c r="E5" i="59"/>
  <c r="I20" i="59"/>
  <c r="I12" i="61"/>
  <c r="Q5" i="59"/>
  <c r="L2" i="59"/>
  <c r="H2" i="59"/>
  <c r="P2" i="59"/>
  <c r="R5" i="59"/>
  <c r="E7" i="59"/>
  <c r="A2" i="59"/>
  <c r="I12" i="59"/>
  <c r="M6" i="59"/>
  <c r="M22" i="61"/>
  <c r="E7" i="61"/>
  <c r="H2" i="61"/>
  <c r="P2" i="61"/>
  <c r="A2" i="61"/>
  <c r="C5" i="61"/>
  <c r="F5" i="61"/>
  <c r="Q5" i="61"/>
  <c r="R5" i="61"/>
  <c r="F6" i="61"/>
  <c r="E7" i="57"/>
  <c r="I12" i="57"/>
  <c r="M22" i="59"/>
  <c r="C5" i="59"/>
  <c r="F5" i="59"/>
  <c r="C6" i="59"/>
  <c r="F6" i="59"/>
  <c r="M22" i="57"/>
  <c r="H2" i="57"/>
  <c r="L2" i="57"/>
  <c r="P2" i="57"/>
  <c r="A2" i="57"/>
  <c r="C5" i="57"/>
  <c r="F5" i="57"/>
  <c r="Q5" i="57"/>
  <c r="R5" i="57"/>
  <c r="C6" i="57"/>
  <c r="F6" i="57"/>
  <c r="E7" i="55"/>
  <c r="I12" i="55"/>
  <c r="M22" i="55"/>
  <c r="H2" i="55"/>
  <c r="L2" i="55"/>
  <c r="P2" i="55"/>
  <c r="A2" i="55"/>
  <c r="F6" i="55"/>
  <c r="C6" i="55"/>
  <c r="Q5" i="55"/>
  <c r="R5" i="55"/>
  <c r="F5" i="55"/>
  <c r="C5" i="55"/>
  <c r="M10" i="53"/>
  <c r="M22" i="53"/>
  <c r="I12" i="53"/>
  <c r="E7" i="53"/>
  <c r="C6" i="53"/>
  <c r="Q5" i="53"/>
  <c r="C5" i="53"/>
  <c r="L2" i="53"/>
  <c r="H2" i="53"/>
  <c r="P2" i="53"/>
  <c r="R5" i="53"/>
  <c r="A2" i="53"/>
  <c r="I12" i="52"/>
  <c r="M22" i="52"/>
  <c r="C5" i="52"/>
  <c r="C6" i="52"/>
  <c r="E7" i="52"/>
  <c r="Q5" i="52"/>
  <c r="L2" i="52"/>
  <c r="H2" i="52"/>
  <c r="P2" i="52"/>
  <c r="R5" i="52"/>
  <c r="A2" i="52"/>
  <c r="M22" i="51"/>
  <c r="I12" i="51"/>
  <c r="E7" i="51"/>
  <c r="C6" i="51"/>
  <c r="Q5" i="51"/>
  <c r="C5" i="51"/>
  <c r="L2" i="51"/>
  <c r="H2" i="51"/>
  <c r="P2" i="51"/>
  <c r="R5" i="51"/>
  <c r="A2" i="51"/>
  <c r="I12" i="50"/>
  <c r="M5" i="49"/>
  <c r="E5" i="49"/>
  <c r="M22" i="50"/>
  <c r="E7" i="50"/>
  <c r="C6" i="50"/>
  <c r="Q5" i="50"/>
  <c r="C5" i="50"/>
  <c r="L2" i="50"/>
  <c r="H2" i="50"/>
  <c r="P2" i="50"/>
  <c r="R5" i="50"/>
  <c r="A2" i="50"/>
  <c r="M22" i="49"/>
  <c r="E7" i="49"/>
  <c r="I12" i="49"/>
  <c r="C6" i="49"/>
  <c r="C5" i="49"/>
  <c r="L2" i="49"/>
  <c r="H2" i="49"/>
  <c r="P2" i="49"/>
  <c r="A2" i="49"/>
  <c r="M7" i="48"/>
  <c r="I13" i="47"/>
  <c r="M7" i="47"/>
  <c r="D6" i="46"/>
  <c r="E7" i="46"/>
  <c r="I13" i="46"/>
  <c r="H2" i="46"/>
  <c r="P2" i="46"/>
  <c r="A2" i="46"/>
  <c r="L2" i="46"/>
  <c r="F5" i="46"/>
  <c r="M10" i="46"/>
  <c r="Q5" i="46"/>
  <c r="R5" i="46"/>
  <c r="M22" i="48"/>
  <c r="I13" i="48"/>
  <c r="E7" i="48"/>
  <c r="C6" i="48"/>
  <c r="Q5" i="48"/>
  <c r="C5" i="48"/>
  <c r="L2" i="48"/>
  <c r="H2" i="48"/>
  <c r="P2" i="48"/>
  <c r="R5" i="48"/>
  <c r="A2" i="48"/>
  <c r="M22" i="47"/>
  <c r="E7" i="47"/>
  <c r="C6" i="47"/>
  <c r="Q5" i="47"/>
  <c r="C5" i="47"/>
  <c r="L2" i="47"/>
  <c r="H2" i="47"/>
  <c r="P2" i="47"/>
  <c r="R5" i="47"/>
  <c r="A2" i="47"/>
  <c r="M22" i="46"/>
  <c r="C6" i="46"/>
  <c r="C5" i="46"/>
  <c r="I10" i="2"/>
  <c r="M10" i="2"/>
  <c r="M14" i="2"/>
  <c r="D6" i="2"/>
  <c r="D5" i="2"/>
  <c r="H2" i="2"/>
  <c r="Q5" i="2"/>
  <c r="L2" i="2"/>
  <c r="P2" i="2"/>
  <c r="R5" i="2"/>
  <c r="E7" i="2"/>
  <c r="A2" i="2"/>
  <c r="F5" i="2"/>
  <c r="F6" i="2"/>
  <c r="F6" i="48"/>
  <c r="F5" i="48"/>
  <c r="F6" i="47"/>
  <c r="F5" i="47"/>
  <c r="F6" i="46"/>
  <c r="F6" i="50"/>
  <c r="F5" i="50"/>
  <c r="F6" i="49"/>
  <c r="F5" i="49"/>
  <c r="Q5" i="49"/>
  <c r="R5" i="49"/>
  <c r="F5" i="52"/>
  <c r="F6" i="52"/>
  <c r="F6" i="51"/>
  <c r="F5" i="51"/>
  <c r="F6" i="53"/>
  <c r="F5" i="53"/>
</calcChain>
</file>

<file path=xl/sharedStrings.xml><?xml version="1.0" encoding="utf-8"?>
<sst xmlns="http://schemas.openxmlformats.org/spreadsheetml/2006/main" count="721" uniqueCount="94">
  <si>
    <t>Balanço</t>
  </si>
  <si>
    <t>Gastos fixos</t>
  </si>
  <si>
    <t>Dívidas</t>
  </si>
  <si>
    <t>Total</t>
  </si>
  <si>
    <t>Pagos</t>
  </si>
  <si>
    <t>Bruto</t>
  </si>
  <si>
    <t>Descontos</t>
  </si>
  <si>
    <t>Líquido</t>
  </si>
  <si>
    <t>Outras entradas</t>
  </si>
  <si>
    <t>Sobra pro bailão</t>
  </si>
  <si>
    <t>Aluguel</t>
  </si>
  <si>
    <t>ok</t>
  </si>
  <si>
    <t>Parcelas</t>
  </si>
  <si>
    <t>Valor</t>
  </si>
  <si>
    <t>Instituição</t>
  </si>
  <si>
    <t>Total Pagos</t>
  </si>
  <si>
    <t>Falta Pagar</t>
  </si>
  <si>
    <t>Gabriel</t>
  </si>
  <si>
    <t>Internet</t>
  </si>
  <si>
    <t>Itaú</t>
  </si>
  <si>
    <t>Gabriela</t>
  </si>
  <si>
    <t>Luz</t>
  </si>
  <si>
    <t>Renner</t>
  </si>
  <si>
    <t>Investimento</t>
  </si>
  <si>
    <t>Empréstimo</t>
  </si>
  <si>
    <t>Mercado</t>
  </si>
  <si>
    <t>Nubank Gabriela</t>
  </si>
  <si>
    <t>Zed</t>
  </si>
  <si>
    <t>Nubank Gabriel</t>
  </si>
  <si>
    <t>Vivo + Claro</t>
  </si>
  <si>
    <t>Cartão Itaú</t>
  </si>
  <si>
    <t>Concomínio</t>
  </si>
  <si>
    <t>Casas Bahia</t>
  </si>
  <si>
    <t>Gás</t>
  </si>
  <si>
    <t>Cartão Renner</t>
  </si>
  <si>
    <t>Ração</t>
  </si>
  <si>
    <t>Tapete Higiênico</t>
  </si>
  <si>
    <t>Banho Zed</t>
  </si>
  <si>
    <t>Uber</t>
  </si>
  <si>
    <t>Máquina</t>
  </si>
  <si>
    <t>Patins</t>
  </si>
  <si>
    <t>Claro</t>
  </si>
  <si>
    <t>Nubank</t>
  </si>
  <si>
    <t>Condomínio</t>
  </si>
  <si>
    <t>IPVA</t>
  </si>
  <si>
    <t>Roupas + Anuidade</t>
  </si>
  <si>
    <t>Seguro</t>
  </si>
  <si>
    <t>Licenciamento</t>
  </si>
  <si>
    <t>Vivo</t>
  </si>
  <si>
    <t>Dízimo</t>
  </si>
  <si>
    <t>Gasolina</t>
  </si>
  <si>
    <t>Carro</t>
  </si>
  <si>
    <t>Roupas + anuidade</t>
  </si>
  <si>
    <t>Roupas + anuidade + guarda roupa</t>
  </si>
  <si>
    <t>Adobe</t>
  </si>
  <si>
    <t>Apartamento</t>
  </si>
  <si>
    <t>Ok</t>
  </si>
  <si>
    <t>Patins+remedio</t>
  </si>
  <si>
    <t xml:space="preserve"> Bone + anuidade + guarda roupa + remédio</t>
  </si>
  <si>
    <t>Em conta</t>
  </si>
  <si>
    <t>Nubank (Seguro Carro)</t>
  </si>
  <si>
    <t>Foto</t>
  </si>
  <si>
    <t>Patins + remedio</t>
  </si>
  <si>
    <t>Anuidade + guarda roupa</t>
  </si>
  <si>
    <t>Casamento (estamos gastando no Nubank)</t>
  </si>
  <si>
    <t>Bradesco</t>
  </si>
  <si>
    <t>viagem meninas</t>
  </si>
  <si>
    <t>Separado</t>
  </si>
  <si>
    <t>Restituição</t>
  </si>
  <si>
    <t>Gastos</t>
  </si>
  <si>
    <t>Bradesco - guarda roupa</t>
  </si>
  <si>
    <t>Viagem Meninas</t>
  </si>
  <si>
    <t>Inter</t>
  </si>
  <si>
    <t xml:space="preserve">Bradesco </t>
  </si>
  <si>
    <t>Móveis</t>
  </si>
  <si>
    <t>Pedra</t>
  </si>
  <si>
    <t>Mercado livre</t>
  </si>
  <si>
    <t>Ap novo</t>
  </si>
  <si>
    <t>Condomínio ap novo</t>
  </si>
  <si>
    <t>Luz Ap novo</t>
  </si>
  <si>
    <t>Copel final</t>
  </si>
  <si>
    <t>Gás final</t>
  </si>
  <si>
    <t>Ligga final</t>
  </si>
  <si>
    <t>Apartamento - 10</t>
  </si>
  <si>
    <t>Internet - 10</t>
  </si>
  <si>
    <t>Nubank - 1</t>
  </si>
  <si>
    <t>Luz - 24</t>
  </si>
  <si>
    <t xml:space="preserve">Bradesco - 5 </t>
  </si>
  <si>
    <t>Móveis - 8</t>
  </si>
  <si>
    <t>Claro - 15</t>
  </si>
  <si>
    <t>Gabriel - 05</t>
  </si>
  <si>
    <t>Mercado Livre - 04</t>
  </si>
  <si>
    <t>Gás - 10</t>
  </si>
  <si>
    <t>Carro - 16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</si>
</sst>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1"/>
      <color rgb="FFC7C7C7"/>
      <name val="Calibri Light"/>
      <family val="2"/>
      <scheme val="major"/>
    </font>
    <font>
      <b/>
      <sz val="13"/>
      <color rgb="FFFF6969"/>
      <name val="Calibri Light"/>
      <family val="2"/>
      <scheme val="major"/>
    </font>
    <font>
      <b/>
      <sz val="13"/>
      <color rgb="FFFFC000"/>
      <name val="Calibri Light"/>
      <family val="2"/>
      <scheme val="major"/>
    </font>
    <font>
      <b/>
      <sz val="13"/>
      <color rgb="FF92D050"/>
      <name val="Calibri Light"/>
      <family val="2"/>
      <scheme val="major"/>
    </font>
    <font>
      <b/>
      <sz val="13"/>
      <color theme="5" tint="0.39997558519241921"/>
      <name val="Calibri Light"/>
      <family val="2"/>
      <scheme val="major"/>
    </font>
    <font>
      <sz val="11"/>
      <color rgb="FFFF6969"/>
      <name val="Calibri Light"/>
      <family val="2"/>
      <scheme val="major"/>
    </font>
    <font>
      <sz val="11"/>
      <color rgb="FF92D050"/>
      <name val="Calibri Light"/>
      <family val="2"/>
      <scheme val="major"/>
    </font>
    <font>
      <sz val="11"/>
      <color theme="0"/>
      <name val="Calibri Light"/>
      <scheme val="major"/>
    </font>
    <font>
      <sz val="11"/>
      <color theme="1"/>
      <name val="Calibri Light"/>
      <scheme val="major"/>
    </font>
    <font>
      <b/>
      <sz val="13"/>
      <color theme="0"/>
      <name val="Calibri Light"/>
      <scheme val="major"/>
    </font>
    <font>
      <b/>
      <sz val="13"/>
      <color rgb="FF92D050"/>
      <name val="Calibri Light"/>
      <scheme val="major"/>
    </font>
    <font>
      <b/>
      <sz val="13"/>
      <color rgb="FFFFC000"/>
      <name val="Calibri Light"/>
      <scheme val="major"/>
    </font>
    <font>
      <b/>
      <sz val="13"/>
      <color theme="5" tint="0.39997558519241921"/>
      <name val="Calibri Light"/>
      <scheme val="major"/>
    </font>
    <font>
      <b/>
      <sz val="13"/>
      <color rgb="FFFF6969"/>
      <name val="Calibri Light"/>
      <scheme val="major"/>
    </font>
    <font>
      <b/>
      <sz val="11"/>
      <color theme="0"/>
      <name val="Calibri Light"/>
      <scheme val="major"/>
    </font>
    <font>
      <sz val="11"/>
      <color rgb="FFC7C7C7"/>
      <name val="Calibri Light"/>
      <scheme val="major"/>
    </font>
    <font>
      <b/>
      <sz val="12"/>
      <color theme="0"/>
      <name val="Calibri Light"/>
      <scheme val="major"/>
    </font>
    <font>
      <sz val="12"/>
      <color rgb="FFC7C7C7"/>
      <name val="Calibri Light"/>
      <scheme val="major"/>
    </font>
    <font>
      <sz val="12"/>
      <color theme="0"/>
      <name val="Calibri Light"/>
      <scheme val="major"/>
    </font>
    <font>
      <sz val="12"/>
      <color rgb="FF92D050"/>
      <name val="Calibri Light"/>
      <scheme val="major"/>
    </font>
    <font>
      <sz val="12"/>
      <color rgb="FFFF6969"/>
      <name val="Calibri Light"/>
      <scheme val="major"/>
    </font>
    <font>
      <b/>
      <sz val="12"/>
      <color rgb="FFC7C7C7"/>
      <name val="Calibri Light"/>
      <scheme val="major"/>
    </font>
    <font>
      <sz val="12"/>
      <color rgb="FFF25272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29333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3" fillId="3" borderId="0" xfId="0" applyFont="1" applyFill="1"/>
    <xf numFmtId="164" fontId="3" fillId="3" borderId="0" xfId="0" applyNumberFormat="1" applyFont="1" applyFill="1"/>
    <xf numFmtId="0" fontId="2" fillId="3" borderId="0" xfId="0" applyFont="1" applyFill="1"/>
    <xf numFmtId="0" fontId="5" fillId="2" borderId="0" xfId="0" applyFont="1" applyFill="1" applyAlignment="1">
      <alignment vertical="center"/>
    </xf>
    <xf numFmtId="0" fontId="4" fillId="3" borderId="0" xfId="0" applyFont="1" applyFill="1"/>
    <xf numFmtId="164" fontId="6" fillId="3" borderId="0" xfId="0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left" vertical="center"/>
    </xf>
    <xf numFmtId="164" fontId="6" fillId="3" borderId="0" xfId="1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center" vertical="center"/>
    </xf>
    <xf numFmtId="44" fontId="6" fillId="3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/>
    </xf>
    <xf numFmtId="164" fontId="7" fillId="3" borderId="0" xfId="1" applyNumberFormat="1" applyFont="1" applyFill="1" applyAlignment="1">
      <alignment vertical="center"/>
    </xf>
    <xf numFmtId="44" fontId="4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3" borderId="0" xfId="0" applyNumberFormat="1" applyFont="1" applyFill="1"/>
    <xf numFmtId="0" fontId="14" fillId="0" borderId="0" xfId="0" applyFont="1"/>
    <xf numFmtId="0" fontId="15" fillId="2" borderId="0" xfId="0" applyFont="1" applyFill="1" applyAlignment="1">
      <alignment vertical="center"/>
    </xf>
    <xf numFmtId="0" fontId="14" fillId="3" borderId="0" xfId="0" applyFont="1" applyFill="1"/>
    <xf numFmtId="164" fontId="19" fillId="3" borderId="0" xfId="1" applyNumberFormat="1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/>
    <xf numFmtId="164" fontId="21" fillId="3" borderId="0" xfId="1" applyNumberFormat="1" applyFont="1" applyFill="1" applyAlignment="1">
      <alignment horizontal="left" vertical="center"/>
    </xf>
    <xf numFmtId="0" fontId="13" fillId="3" borderId="0" xfId="0" applyFont="1" applyFill="1"/>
    <xf numFmtId="164" fontId="21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0" xfId="0" applyFont="1" applyFill="1"/>
    <xf numFmtId="164" fontId="23" fillId="3" borderId="0" xfId="1" applyNumberFormat="1" applyFont="1" applyFill="1" applyAlignment="1">
      <alignment horizontal="left" vertical="center"/>
    </xf>
    <xf numFmtId="0" fontId="24" fillId="3" borderId="0" xfId="0" applyFont="1" applyFill="1"/>
    <xf numFmtId="164" fontId="22" fillId="3" borderId="0" xfId="0" applyNumberFormat="1" applyFont="1" applyFill="1" applyAlignment="1">
      <alignment horizontal="center"/>
    </xf>
    <xf numFmtId="44" fontId="22" fillId="3" borderId="0" xfId="1" applyFont="1" applyFill="1" applyAlignment="1">
      <alignment horizontal="center"/>
    </xf>
    <xf numFmtId="164" fontId="22" fillId="3" borderId="0" xfId="0" applyNumberFormat="1" applyFont="1" applyFill="1" applyAlignment="1">
      <alignment horizontal="left"/>
    </xf>
    <xf numFmtId="164" fontId="23" fillId="3" borderId="0" xfId="0" applyNumberFormat="1" applyFont="1" applyFill="1" applyAlignment="1">
      <alignment horizontal="left"/>
    </xf>
    <xf numFmtId="44" fontId="23" fillId="3" borderId="0" xfId="0" applyNumberFormat="1" applyFont="1" applyFill="1" applyAlignment="1">
      <alignment horizontal="center" vertical="center"/>
    </xf>
    <xf numFmtId="164" fontId="23" fillId="3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 vertical="center"/>
    </xf>
    <xf numFmtId="164" fontId="25" fillId="3" borderId="0" xfId="0" applyNumberFormat="1" applyFont="1" applyFill="1" applyAlignment="1">
      <alignment horizontal="center"/>
    </xf>
    <xf numFmtId="164" fontId="26" fillId="3" borderId="0" xfId="0" applyNumberFormat="1" applyFont="1" applyFill="1" applyAlignment="1">
      <alignment horizontal="center"/>
    </xf>
    <xf numFmtId="164" fontId="24" fillId="3" borderId="0" xfId="0" applyNumberFormat="1" applyFont="1" applyFill="1" applyAlignment="1">
      <alignment horizontal="left"/>
    </xf>
    <xf numFmtId="164" fontId="22" fillId="3" borderId="0" xfId="0" applyNumberFormat="1" applyFont="1" applyFill="1" applyAlignment="1">
      <alignment horizontal="left" vertical="center"/>
    </xf>
    <xf numFmtId="164" fontId="24" fillId="3" borderId="0" xfId="0" applyNumberFormat="1" applyFont="1" applyFill="1"/>
    <xf numFmtId="0" fontId="24" fillId="3" borderId="0" xfId="0" applyFont="1" applyFill="1" applyAlignment="1">
      <alignment horizontal="left" vertical="center"/>
    </xf>
    <xf numFmtId="164" fontId="24" fillId="3" borderId="0" xfId="0" applyNumberFormat="1" applyFont="1" applyFill="1" applyAlignment="1">
      <alignment horizontal="center" vertical="center"/>
    </xf>
    <xf numFmtId="164" fontId="28" fillId="3" borderId="0" xfId="0" applyNumberFormat="1" applyFont="1" applyFill="1" applyAlignment="1">
      <alignment horizontal="center"/>
    </xf>
    <xf numFmtId="164" fontId="27" fillId="3" borderId="0" xfId="0" applyNumberFormat="1" applyFont="1" applyFill="1" applyAlignment="1">
      <alignment vertical="center"/>
    </xf>
    <xf numFmtId="0" fontId="23" fillId="3" borderId="0" xfId="0" applyFont="1" applyFill="1" applyAlignment="1">
      <alignment horizontal="left"/>
    </xf>
    <xf numFmtId="0" fontId="23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22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  <xf numFmtId="164" fontId="22" fillId="3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16" fillId="3" borderId="0" xfId="1" applyNumberFormat="1" applyFont="1" applyFill="1" applyAlignment="1">
      <alignment horizontal="center" vertical="center"/>
    </xf>
    <xf numFmtId="164" fontId="17" fillId="3" borderId="0" xfId="1" applyNumberFormat="1" applyFont="1" applyFill="1" applyAlignment="1">
      <alignment horizontal="center" vertical="center"/>
    </xf>
    <xf numFmtId="164" fontId="18" fillId="3" borderId="0" xfId="1" applyNumberFormat="1" applyFont="1" applyFill="1" applyAlignment="1">
      <alignment horizontal="center" vertical="center"/>
    </xf>
    <xf numFmtId="164" fontId="19" fillId="3" borderId="0" xfId="1" applyNumberFormat="1" applyFont="1" applyFill="1" applyAlignment="1">
      <alignment horizontal="center" vertical="center"/>
    </xf>
    <xf numFmtId="164" fontId="23" fillId="3" borderId="0" xfId="0" applyNumberFormat="1" applyFont="1" applyFill="1" applyAlignment="1">
      <alignment horizontal="left" vertical="center"/>
    </xf>
    <xf numFmtId="164" fontId="22" fillId="3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16" fillId="3" borderId="0" xfId="1" applyNumberFormat="1" applyFont="1" applyFill="1" applyAlignment="1">
      <alignment horizontal="center" vertical="center"/>
    </xf>
    <xf numFmtId="164" fontId="17" fillId="3" borderId="0" xfId="1" applyNumberFormat="1" applyFont="1" applyFill="1" applyAlignment="1">
      <alignment horizontal="center" vertical="center"/>
    </xf>
    <xf numFmtId="164" fontId="18" fillId="3" borderId="0" xfId="1" applyNumberFormat="1" applyFont="1" applyFill="1" applyAlignment="1">
      <alignment horizontal="center" vertical="center"/>
    </xf>
    <xf numFmtId="164" fontId="19" fillId="3" borderId="0" xfId="1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left" vertical="center"/>
    </xf>
    <xf numFmtId="164" fontId="8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</dxfs>
  <tableStyles count="0" defaultTableStyle="TableStyleMedium2" defaultPivotStyle="PivotStyleLight16"/>
  <colors>
    <mruColors>
      <color rgb="FFF25272"/>
      <color rgb="FFF25260"/>
      <color rgb="FFFFF2F3"/>
      <color rgb="FFF2FFF7"/>
      <color rgb="FF5C5C5C"/>
      <color rgb="FFFFEBEC"/>
      <color rgb="FFFCF2F5"/>
      <color rgb="FFED3E67"/>
      <color rgb="FFE6D1D6"/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DE05-A8ED-411F-9897-C17522FE8D82}">
  <dimension ref="A1:S41"/>
  <sheetViews>
    <sheetView showGridLines="0" zoomScaleNormal="100" workbookViewId="0">
      <selection activeCell="G29" sqref="G29"/>
    </sheetView>
  </sheetViews>
  <sheetFormatPr defaultColWidth="13.28515625" defaultRowHeight="15"/>
  <cols>
    <col min="1" max="4" width="13.28515625" style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13" width="13.28515625" style="1"/>
    <col min="14" max="14" width="15.42578125" style="1" bestFit="1" customWidth="1"/>
    <col min="15" max="16384" width="13.28515625" style="1"/>
  </cols>
  <sheetData>
    <row r="1" spans="1:19" ht="33" customHeight="1">
      <c r="A1" s="80" t="s">
        <v>0</v>
      </c>
      <c r="B1" s="80"/>
      <c r="C1" s="80"/>
      <c r="D1" s="80"/>
      <c r="E1" s="80"/>
      <c r="F1" s="62"/>
      <c r="G1" s="6"/>
      <c r="H1" s="80" t="s">
        <v>1</v>
      </c>
      <c r="I1" s="80"/>
      <c r="J1" s="6"/>
      <c r="K1" s="6"/>
      <c r="L1" s="80" t="s">
        <v>2</v>
      </c>
      <c r="M1" s="80"/>
      <c r="N1" s="80"/>
      <c r="O1" s="6"/>
      <c r="P1" s="80" t="s">
        <v>3</v>
      </c>
      <c r="Q1" s="80"/>
      <c r="R1" s="80"/>
      <c r="S1" s="6"/>
    </row>
    <row r="2" spans="1:19" ht="18">
      <c r="A2" s="82">
        <f>E7+P2</f>
        <v>-1017.1900000000005</v>
      </c>
      <c r="B2" s="82"/>
      <c r="C2" s="82"/>
      <c r="D2" s="82"/>
      <c r="E2" s="82"/>
      <c r="F2" s="64"/>
      <c r="G2" s="5"/>
      <c r="H2" s="84">
        <f>SUM(I4:I34)*-1</f>
        <v>-2135.09</v>
      </c>
      <c r="I2" s="84"/>
      <c r="J2" s="5"/>
      <c r="K2" s="5"/>
      <c r="L2" s="85">
        <f>SUM(M5:M12)*-1</f>
        <v>-4707.93</v>
      </c>
      <c r="M2" s="85"/>
      <c r="N2" s="85"/>
      <c r="O2" s="21"/>
      <c r="P2" s="81">
        <f>SUM(H2:N2)</f>
        <v>-6843.02</v>
      </c>
      <c r="Q2" s="81"/>
      <c r="R2" s="81"/>
      <c r="S2" s="5"/>
    </row>
    <row r="3" spans="1:19" ht="16.5" customHeight="1">
      <c r="A3" s="64"/>
      <c r="B3" s="64"/>
      <c r="C3" s="64"/>
      <c r="D3" s="64"/>
      <c r="E3" s="64"/>
      <c r="F3" s="64"/>
      <c r="G3" s="5"/>
      <c r="H3" s="65"/>
      <c r="I3" s="65"/>
      <c r="J3" s="2" t="s">
        <v>4</v>
      </c>
      <c r="K3" s="5"/>
      <c r="L3" s="66"/>
      <c r="M3" s="66"/>
      <c r="N3" s="66"/>
      <c r="O3" s="63"/>
      <c r="P3" s="63"/>
      <c r="Q3" s="63"/>
      <c r="R3" s="63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1489.9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v>987</v>
      </c>
      <c r="D5" s="20">
        <f>B5-C5</f>
        <v>2513</v>
      </c>
      <c r="E5" s="83">
        <v>800</v>
      </c>
      <c r="F5" s="16" t="str">
        <f>IF(A2&gt;0,A2/2,"R$ 0,00")</f>
        <v>R$ 0,00</v>
      </c>
      <c r="G5" s="3"/>
      <c r="H5" s="7" t="s">
        <v>18</v>
      </c>
      <c r="I5" s="9">
        <v>58.28</v>
      </c>
      <c r="J5" s="3" t="s">
        <v>11</v>
      </c>
      <c r="K5" s="3"/>
      <c r="L5" s="2">
        <v>5</v>
      </c>
      <c r="M5" s="10">
        <v>468.37</v>
      </c>
      <c r="N5" s="11" t="s">
        <v>19</v>
      </c>
      <c r="O5" s="12" t="s">
        <v>11</v>
      </c>
      <c r="P5" s="12"/>
      <c r="Q5" s="23">
        <f>SUMIF(J:J,"ok",I:I)+SUMIF(O:O,"ok",M:M)</f>
        <v>6116.6900000000005</v>
      </c>
      <c r="R5" s="17">
        <f>P2+Q5</f>
        <v>-726.32999999999993</v>
      </c>
      <c r="S5" s="3"/>
    </row>
    <row r="6" spans="1:19">
      <c r="A6" s="14" t="s">
        <v>20</v>
      </c>
      <c r="B6" s="20">
        <v>3325.83</v>
      </c>
      <c r="C6" s="20">
        <v>813</v>
      </c>
      <c r="D6" s="20">
        <f>B6-C6</f>
        <v>2512.83</v>
      </c>
      <c r="E6" s="83"/>
      <c r="F6" s="16" t="str">
        <f>F5</f>
        <v>R$ 0,00</v>
      </c>
      <c r="G6" s="3"/>
      <c r="H6" s="7" t="s">
        <v>21</v>
      </c>
      <c r="I6" s="9">
        <v>70</v>
      </c>
      <c r="J6" s="3" t="s">
        <v>11</v>
      </c>
      <c r="K6" s="3"/>
      <c r="L6" s="2">
        <v>3</v>
      </c>
      <c r="M6" s="8">
        <v>95.9</v>
      </c>
      <c r="N6" s="11" t="s">
        <v>22</v>
      </c>
      <c r="O6" s="12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5825.83</v>
      </c>
      <c r="F7" s="15"/>
      <c r="G7" s="3"/>
      <c r="H7" s="7" t="s">
        <v>23</v>
      </c>
      <c r="I7" s="9">
        <v>0</v>
      </c>
      <c r="J7" s="3"/>
      <c r="K7" s="3"/>
      <c r="L7" s="2">
        <v>3</v>
      </c>
      <c r="M7" s="8">
        <v>761.47</v>
      </c>
      <c r="N7" s="11" t="s">
        <v>24</v>
      </c>
      <c r="O7" s="12" t="s">
        <v>11</v>
      </c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25</v>
      </c>
      <c r="I8" s="9">
        <v>0</v>
      </c>
      <c r="J8" s="3"/>
      <c r="K8" s="3"/>
      <c r="L8" s="2">
        <v>1</v>
      </c>
      <c r="M8" s="8">
        <v>1355.9</v>
      </c>
      <c r="N8" s="11" t="s">
        <v>26</v>
      </c>
      <c r="O8" s="12" t="s">
        <v>11</v>
      </c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27</v>
      </c>
      <c r="I9" s="9">
        <v>0</v>
      </c>
      <c r="J9" s="3"/>
      <c r="K9" s="3"/>
      <c r="L9" s="2">
        <v>1</v>
      </c>
      <c r="M9" s="8">
        <v>400</v>
      </c>
      <c r="N9" s="11" t="s">
        <v>28</v>
      </c>
      <c r="O9" s="12"/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29</v>
      </c>
      <c r="I10" s="9">
        <f>110-49.9</f>
        <v>60.1</v>
      </c>
      <c r="J10" s="3" t="s">
        <v>11</v>
      </c>
      <c r="K10" s="3"/>
      <c r="L10" s="2">
        <v>1</v>
      </c>
      <c r="M10" s="8">
        <f>154.73+171.6</f>
        <v>326.33</v>
      </c>
      <c r="N10" s="11" t="s">
        <v>30</v>
      </c>
      <c r="O10" s="12"/>
      <c r="P10" s="12"/>
      <c r="Q10" s="8"/>
      <c r="R10" s="11"/>
      <c r="S10" s="3"/>
    </row>
    <row r="11" spans="1:19">
      <c r="A11" s="4"/>
      <c r="B11" s="4"/>
      <c r="C11" s="4"/>
      <c r="D11" s="4"/>
      <c r="E11" s="4"/>
      <c r="F11" s="4"/>
      <c r="G11" s="3"/>
      <c r="H11" s="7" t="s">
        <v>31</v>
      </c>
      <c r="I11" s="9">
        <v>368.81</v>
      </c>
      <c r="J11" s="3" t="s">
        <v>11</v>
      </c>
      <c r="K11" s="3"/>
      <c r="L11" s="2">
        <v>2</v>
      </c>
      <c r="M11" s="8">
        <v>240</v>
      </c>
      <c r="N11" s="11" t="s">
        <v>32</v>
      </c>
      <c r="O11" s="12" t="s">
        <v>11</v>
      </c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33</v>
      </c>
      <c r="I12" s="9">
        <v>8</v>
      </c>
      <c r="J12" s="3" t="s">
        <v>11</v>
      </c>
      <c r="K12" s="3"/>
      <c r="L12" s="2">
        <v>1</v>
      </c>
      <c r="M12" s="8">
        <v>1059.96</v>
      </c>
      <c r="N12" s="11" t="s">
        <v>34</v>
      </c>
      <c r="O12" s="12" t="s">
        <v>11</v>
      </c>
      <c r="P12" s="12"/>
      <c r="Q12" s="8"/>
      <c r="R12" s="11"/>
      <c r="S12" s="3"/>
    </row>
    <row r="13" spans="1:19">
      <c r="A13" s="4"/>
      <c r="B13" s="4"/>
      <c r="C13" s="4"/>
      <c r="D13" s="4"/>
      <c r="E13" s="4"/>
      <c r="F13" s="4"/>
      <c r="G13" s="3"/>
      <c r="H13" s="7" t="s">
        <v>35</v>
      </c>
      <c r="I13" s="9">
        <v>80</v>
      </c>
      <c r="J13" s="3" t="s">
        <v>11</v>
      </c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4"/>
      <c r="D14" s="4"/>
      <c r="E14" s="4"/>
      <c r="F14" s="4"/>
      <c r="G14" s="3"/>
      <c r="H14" s="7" t="s">
        <v>36</v>
      </c>
      <c r="I14" s="9">
        <v>0</v>
      </c>
      <c r="J14" s="3"/>
      <c r="K14" s="3"/>
      <c r="L14" s="2" t="s">
        <v>3</v>
      </c>
      <c r="M14" s="17">
        <f>((M5*L5)+(M6*L6)+(M7*L7)+(M8*L8)+(M9*L9)+(M10*L10)+(M11+L11)+(M12+L12))*-1</f>
        <v>-8299.1500000000015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4"/>
      <c r="D15" s="4"/>
      <c r="E15" s="4"/>
      <c r="F15" s="4"/>
      <c r="G15" s="3"/>
      <c r="H15" s="7" t="s">
        <v>37</v>
      </c>
      <c r="I15" s="9">
        <v>0</v>
      </c>
      <c r="J15" s="3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4"/>
      <c r="D16" s="4"/>
      <c r="E16" s="4"/>
      <c r="F16" s="4"/>
      <c r="G16" s="3"/>
      <c r="H16" s="7" t="s">
        <v>38</v>
      </c>
      <c r="I16" s="9">
        <v>0</v>
      </c>
      <c r="J16" s="3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4"/>
      <c r="D17" s="4"/>
      <c r="E17" s="4"/>
      <c r="F17" s="4"/>
      <c r="G17" s="3"/>
      <c r="H17" s="7"/>
      <c r="I17" s="9"/>
      <c r="J17" s="3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4"/>
      <c r="D18" s="4"/>
      <c r="E18" s="4"/>
      <c r="F18" s="4"/>
      <c r="G18" s="3"/>
      <c r="H18" s="7"/>
      <c r="I18" s="9"/>
      <c r="J18" s="3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4"/>
      <c r="D19" s="4"/>
      <c r="E19" s="4"/>
      <c r="F19" s="4"/>
      <c r="G19" s="3"/>
      <c r="H19" s="7"/>
      <c r="I19" s="9"/>
      <c r="J19" s="3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4"/>
      <c r="D20" s="4"/>
      <c r="E20" s="4"/>
      <c r="F20" s="4"/>
      <c r="G20" s="3"/>
      <c r="H20" s="7"/>
      <c r="I20" s="9"/>
      <c r="J20" s="3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4"/>
      <c r="D21" s="4"/>
      <c r="E21" s="4"/>
      <c r="F21" s="4"/>
      <c r="G21" s="3"/>
      <c r="H21" s="7"/>
      <c r="I21" s="9"/>
      <c r="J21" s="3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12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12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3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3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3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3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3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3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3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3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3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3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3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3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3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9">
    <mergeCell ref="P1:R1"/>
    <mergeCell ref="P2:R2"/>
    <mergeCell ref="A1:E1"/>
    <mergeCell ref="A2:E2"/>
    <mergeCell ref="E5:E6"/>
    <mergeCell ref="H2:I2"/>
    <mergeCell ref="L2:N2"/>
    <mergeCell ref="L1:N1"/>
    <mergeCell ref="H1:I1"/>
  </mergeCells>
  <conditionalFormatting sqref="A2:F3">
    <cfRule type="cellIs" dxfId="1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972C-1285-4535-9DB7-2AC9AC90BFA7}">
  <dimension ref="A1:S41"/>
  <sheetViews>
    <sheetView showGridLines="0" zoomScaleNormal="100" workbookViewId="0">
      <selection activeCell="H23" sqref="H23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2" width="9.140625" style="25" bestFit="1" customWidth="1"/>
    <col min="13" max="13" width="15.28515625" style="25" bestFit="1" customWidth="1"/>
    <col min="14" max="14" width="23.285156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1057.3909999999996</v>
      </c>
      <c r="B2" s="76"/>
      <c r="C2" s="76"/>
      <c r="D2" s="76"/>
      <c r="E2" s="76"/>
      <c r="F2" s="69"/>
      <c r="G2" s="27"/>
      <c r="H2" s="77">
        <f>SUM(I4:I15)*-1</f>
        <v>-5059.7790000000005</v>
      </c>
      <c r="I2" s="77"/>
      <c r="J2" s="27"/>
      <c r="K2" s="27"/>
      <c r="L2" s="78">
        <f>SUM(M5:M16)*-1</f>
        <v>-2524.92</v>
      </c>
      <c r="M2" s="78"/>
      <c r="N2" s="78"/>
      <c r="O2" s="28"/>
      <c r="P2" s="79">
        <f>H2+L2</f>
        <v>-7584.6990000000005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1460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3636</v>
      </c>
      <c r="C5" s="43">
        <f>B5-D5</f>
        <v>1439.21</v>
      </c>
      <c r="D5" s="43">
        <v>2196.79</v>
      </c>
      <c r="E5" s="73">
        <v>1754</v>
      </c>
      <c r="F5" s="44">
        <f>IF(A2&gt;0,A2/2,"R$ 0,00")</f>
        <v>528.69549999999981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2</v>
      </c>
      <c r="M5" s="45">
        <v>113.08</v>
      </c>
      <c r="N5" s="57" t="s">
        <v>39</v>
      </c>
      <c r="O5" s="39" t="s">
        <v>11</v>
      </c>
      <c r="P5" s="47"/>
      <c r="Q5" s="48">
        <f>SUMIF(J:J,"ok",I:I)+SUMIF(O:O,"ok",M:M)</f>
        <v>7584.6990000000005</v>
      </c>
      <c r="R5" s="49">
        <f>P2+Q5</f>
        <v>0</v>
      </c>
      <c r="S5" s="32"/>
    </row>
    <row r="6" spans="1:19">
      <c r="A6" s="42" t="s">
        <v>20</v>
      </c>
      <c r="B6" s="43">
        <v>6174.52</v>
      </c>
      <c r="C6" s="43">
        <f>B6-D6</f>
        <v>1483.2200000000003</v>
      </c>
      <c r="D6" s="43">
        <f>4691.3</f>
        <v>4691.3</v>
      </c>
      <c r="E6" s="73"/>
      <c r="F6" s="44">
        <f>IF(A2&gt;0,A2/2,"R$ 0,00")</f>
        <v>528.69549999999981</v>
      </c>
      <c r="G6" s="39"/>
      <c r="H6" s="37" t="s">
        <v>21</v>
      </c>
      <c r="I6" s="38">
        <v>105.18</v>
      </c>
      <c r="J6" s="39" t="s">
        <v>11</v>
      </c>
      <c r="K6" s="39"/>
      <c r="L6" s="36">
        <v>3</v>
      </c>
      <c r="M6" s="45">
        <v>57.53</v>
      </c>
      <c r="N6" s="57" t="s">
        <v>40</v>
      </c>
      <c r="O6" s="39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8642.09</v>
      </c>
      <c r="F7" s="67"/>
      <c r="G7" s="39"/>
      <c r="H7" s="37" t="s">
        <v>25</v>
      </c>
      <c r="I7" s="38">
        <v>0</v>
      </c>
      <c r="J7" s="39" t="s">
        <v>11</v>
      </c>
      <c r="K7" s="39"/>
      <c r="L7" s="36">
        <v>1</v>
      </c>
      <c r="M7" s="45">
        <v>441.81</v>
      </c>
      <c r="N7" s="57" t="s">
        <v>28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64.900000000000006</v>
      </c>
      <c r="J8" s="39" t="s">
        <v>11</v>
      </c>
      <c r="K8" s="39"/>
      <c r="L8" s="36">
        <v>1</v>
      </c>
      <c r="M8" s="45">
        <v>1164.97</v>
      </c>
      <c r="N8" s="57" t="s">
        <v>42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630.01</v>
      </c>
      <c r="J9" s="39" t="s">
        <v>11</v>
      </c>
      <c r="K9" s="39"/>
      <c r="L9" s="36">
        <v>5</v>
      </c>
      <c r="M9" s="45">
        <v>350.71</v>
      </c>
      <c r="N9" s="57" t="s">
        <v>44</v>
      </c>
      <c r="O9" s="53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81.83</v>
      </c>
      <c r="J10" s="39" t="s">
        <v>11</v>
      </c>
      <c r="K10" s="39"/>
      <c r="L10" s="36">
        <v>5</v>
      </c>
      <c r="M10" s="45">
        <f>254.03+51.85</f>
        <v>305.88</v>
      </c>
      <c r="N10" s="57" t="s">
        <v>45</v>
      </c>
      <c r="O10" s="53" t="s">
        <v>11</v>
      </c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46</v>
      </c>
      <c r="I11" s="38">
        <v>0</v>
      </c>
      <c r="J11" s="39" t="s">
        <v>11</v>
      </c>
      <c r="K11" s="39"/>
      <c r="L11" s="36">
        <v>1</v>
      </c>
      <c r="M11" s="45">
        <v>90.94</v>
      </c>
      <c r="N11" s="57" t="s">
        <v>47</v>
      </c>
      <c r="O11" s="53" t="s">
        <v>11</v>
      </c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48</v>
      </c>
      <c r="I12" s="38">
        <v>62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49</v>
      </c>
      <c r="I13" s="38">
        <f>SUM(E7)*0.1</f>
        <v>864.20900000000006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50</v>
      </c>
      <c r="I14" s="38">
        <v>300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51</v>
      </c>
      <c r="I15" s="38">
        <v>1357.42</v>
      </c>
      <c r="J15" s="39" t="s">
        <v>11</v>
      </c>
      <c r="K15" s="39"/>
      <c r="L15" s="36"/>
      <c r="M15" s="45"/>
      <c r="N15" s="46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39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39"/>
      <c r="K22" s="39"/>
      <c r="L22" s="36" t="s">
        <v>3</v>
      </c>
      <c r="M22" s="49">
        <f>SUMPRODUCT(L5:L15,M5:M15)</f>
        <v>5379.4199999999992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39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9"/>
      <c r="B30" s="52"/>
      <c r="C30" s="39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1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8467-DC18-43D5-8E34-C6AAED3B9E58}">
  <dimension ref="A1:S41"/>
  <sheetViews>
    <sheetView showGridLines="0" zoomScaleNormal="100" workbookViewId="0">
      <selection activeCell="L5" sqref="L5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2" width="9.140625" style="25" bestFit="1" customWidth="1"/>
    <col min="13" max="13" width="15.28515625" style="25" bestFit="1" customWidth="1"/>
    <col min="14" max="14" width="23.285156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527.56500000000051</v>
      </c>
      <c r="B2" s="76"/>
      <c r="C2" s="76"/>
      <c r="D2" s="76"/>
      <c r="E2" s="76"/>
      <c r="F2" s="69"/>
      <c r="G2" s="27"/>
      <c r="H2" s="77">
        <f>SUM(I4:I15)*-1</f>
        <v>-5538.6350000000002</v>
      </c>
      <c r="I2" s="77"/>
      <c r="J2" s="27"/>
      <c r="K2" s="27"/>
      <c r="L2" s="78">
        <f>SUM(M5:M16)*-1</f>
        <v>-2391.65</v>
      </c>
      <c r="M2" s="78"/>
      <c r="N2" s="78"/>
      <c r="O2" s="28"/>
      <c r="P2" s="79">
        <f>SUM(H2:N2)</f>
        <v>-7930.2849999999999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1514.57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668</v>
      </c>
      <c r="D5" s="43">
        <v>3832</v>
      </c>
      <c r="E5" s="73"/>
      <c r="F5" s="44">
        <f>IF(A2&gt;0,A2/2,"R$ 0,00")</f>
        <v>263.78250000000025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2</v>
      </c>
      <c r="M5" s="45">
        <v>57.53</v>
      </c>
      <c r="N5" s="57" t="s">
        <v>40</v>
      </c>
      <c r="O5" s="39" t="s">
        <v>11</v>
      </c>
      <c r="P5" s="47"/>
      <c r="Q5" s="48">
        <f>SUMIF(J:J,"ok",I:I)+SUMIF(O:O,"ok",M:M)</f>
        <v>7930.2849999999999</v>
      </c>
      <c r="R5" s="49">
        <f>P2+Q5</f>
        <v>0</v>
      </c>
      <c r="S5" s="32"/>
    </row>
    <row r="6" spans="1:19">
      <c r="A6" s="42" t="s">
        <v>20</v>
      </c>
      <c r="B6" s="43">
        <v>6174.52</v>
      </c>
      <c r="C6" s="43">
        <f>B6-D6</f>
        <v>1548.67</v>
      </c>
      <c r="D6" s="43">
        <v>4625.8500000000004</v>
      </c>
      <c r="E6" s="73"/>
      <c r="F6" s="44">
        <f>IF(A2&gt;0,A2/2,"R$ 0,00")</f>
        <v>263.78250000000025</v>
      </c>
      <c r="G6" s="39"/>
      <c r="H6" s="37" t="s">
        <v>21</v>
      </c>
      <c r="I6" s="38">
        <v>116.51</v>
      </c>
      <c r="J6" s="39" t="s">
        <v>11</v>
      </c>
      <c r="K6" s="39"/>
      <c r="L6" s="36">
        <v>4</v>
      </c>
      <c r="M6" s="45">
        <v>350.67</v>
      </c>
      <c r="N6" s="57" t="s">
        <v>44</v>
      </c>
      <c r="O6" s="53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8457.85</v>
      </c>
      <c r="F7" s="67"/>
      <c r="G7" s="39"/>
      <c r="H7" s="37" t="s">
        <v>25</v>
      </c>
      <c r="I7" s="38">
        <v>300</v>
      </c>
      <c r="J7" s="39" t="s">
        <v>11</v>
      </c>
      <c r="K7" s="39"/>
      <c r="L7" s="36">
        <v>1</v>
      </c>
      <c r="M7" s="45">
        <f>(857.13-I11+332)</f>
        <v>912.45</v>
      </c>
      <c r="N7" s="57" t="s">
        <v>42</v>
      </c>
      <c r="O7" s="53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64.900000000000006</v>
      </c>
      <c r="J8" s="39" t="s">
        <v>11</v>
      </c>
      <c r="K8" s="39"/>
      <c r="L8" s="36">
        <v>2</v>
      </c>
      <c r="M8" s="45">
        <v>1071</v>
      </c>
      <c r="N8" s="57" t="s">
        <v>52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503.76</v>
      </c>
      <c r="J9" s="39" t="s">
        <v>11</v>
      </c>
      <c r="K9" s="39"/>
      <c r="L9" s="36"/>
      <c r="M9" s="45"/>
      <c r="N9" s="57"/>
      <c r="O9" s="53"/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69.78</v>
      </c>
      <c r="J10" s="39" t="s">
        <v>11</v>
      </c>
      <c r="K10" s="39"/>
      <c r="L10" s="36"/>
      <c r="M10" s="45"/>
      <c r="N10" s="57"/>
      <c r="O10" s="53"/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46</v>
      </c>
      <c r="I11" s="38">
        <v>276.68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48</v>
      </c>
      <c r="I12" s="38">
        <v>55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49</v>
      </c>
      <c r="I13" s="38">
        <f>SUM(D5:D6)*0.1</f>
        <v>845.78500000000008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50</v>
      </c>
      <c r="I14" s="38">
        <v>300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51</v>
      </c>
      <c r="I15" s="38">
        <v>1357.42</v>
      </c>
      <c r="J15" s="39" t="s">
        <v>11</v>
      </c>
      <c r="K15" s="39"/>
      <c r="L15" s="36"/>
      <c r="M15" s="45"/>
      <c r="N15" s="46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5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67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39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39"/>
      <c r="K22" s="39"/>
      <c r="L22" s="36" t="s">
        <v>3</v>
      </c>
      <c r="M22" s="49">
        <f>SUMPRODUCT(L5:L15,M5:M15)</f>
        <v>4572.1900000000005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39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9"/>
      <c r="B30" s="52"/>
      <c r="C30" s="39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1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03BD-35C4-4A81-9436-AC9D22A72245}">
  <dimension ref="A1:S41"/>
  <sheetViews>
    <sheetView showGridLines="0" zoomScaleNormal="100" workbookViewId="0">
      <selection activeCell="M6" sqref="M6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35.710937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-972.9989999999998</v>
      </c>
      <c r="B2" s="76"/>
      <c r="C2" s="76"/>
      <c r="D2" s="76"/>
      <c r="E2" s="76"/>
      <c r="F2" s="69"/>
      <c r="G2" s="27"/>
      <c r="H2" s="77">
        <f>SUM(I4:I15)*-1</f>
        <v>-5907.0889999999999</v>
      </c>
      <c r="I2" s="77"/>
      <c r="J2" s="27"/>
      <c r="K2" s="27"/>
      <c r="L2" s="78">
        <f>SUM(M5:M16)*-1</f>
        <v>-3327.3</v>
      </c>
      <c r="M2" s="78"/>
      <c r="N2" s="78"/>
      <c r="O2" s="28"/>
      <c r="P2" s="79">
        <f>SUM(H2:N2)</f>
        <v>-9234.3889999999992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1914.57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735</v>
      </c>
      <c r="D5" s="43">
        <v>3765</v>
      </c>
      <c r="E5" s="73"/>
      <c r="F5" s="44" t="str">
        <f>IF(A2&gt;0,A2/2,"R$ 0,00")</f>
        <v>R$ 0,00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1</v>
      </c>
      <c r="M5" s="45">
        <v>57.48</v>
      </c>
      <c r="N5" s="57" t="s">
        <v>40</v>
      </c>
      <c r="O5" s="39"/>
      <c r="P5" s="47"/>
      <c r="Q5" s="48">
        <f>SUMIF(J:J,"ok",I:I)+SUMIF(O:O,"ok",M:M)</f>
        <v>9176.9089999999997</v>
      </c>
      <c r="R5" s="49">
        <f>P2+Q5</f>
        <v>-57.479999999999563</v>
      </c>
      <c r="S5" s="32"/>
    </row>
    <row r="6" spans="1:19">
      <c r="A6" s="42" t="s">
        <v>20</v>
      </c>
      <c r="B6" s="43">
        <v>6174.52</v>
      </c>
      <c r="C6" s="43">
        <f>B6-D6</f>
        <v>1678.13</v>
      </c>
      <c r="D6" s="43">
        <v>4496.3900000000003</v>
      </c>
      <c r="E6" s="73"/>
      <c r="F6" s="44" t="str">
        <f>IF(A2&gt;0,A2/2,"R$ 0,00")</f>
        <v>R$ 0,00</v>
      </c>
      <c r="G6" s="39"/>
      <c r="H6" s="37" t="s">
        <v>21</v>
      </c>
      <c r="I6" s="38">
        <v>188.69</v>
      </c>
      <c r="J6" s="39" t="s">
        <v>11</v>
      </c>
      <c r="K6" s="39"/>
      <c r="L6" s="36">
        <v>3</v>
      </c>
      <c r="M6" s="45">
        <v>350.71</v>
      </c>
      <c r="N6" s="57" t="s">
        <v>44</v>
      </c>
      <c r="O6" s="53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8261.39</v>
      </c>
      <c r="F7" s="67"/>
      <c r="G7" s="39"/>
      <c r="H7" s="37" t="s">
        <v>25</v>
      </c>
      <c r="I7" s="38">
        <v>500</v>
      </c>
      <c r="J7" s="39" t="s">
        <v>11</v>
      </c>
      <c r="K7" s="39"/>
      <c r="L7" s="36">
        <v>1</v>
      </c>
      <c r="M7" s="45">
        <f>940</f>
        <v>940</v>
      </c>
      <c r="N7" s="57" t="s">
        <v>53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496.61</v>
      </c>
      <c r="N8" s="57" t="s">
        <v>28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464.12</v>
      </c>
      <c r="J9" s="39" t="s">
        <v>11</v>
      </c>
      <c r="K9" s="39"/>
      <c r="L9" s="36">
        <v>1</v>
      </c>
      <c r="M9" s="45">
        <v>1435</v>
      </c>
      <c r="N9" s="57" t="s">
        <v>42</v>
      </c>
      <c r="O9" s="53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97.48</v>
      </c>
      <c r="J10" s="39" t="s">
        <v>11</v>
      </c>
      <c r="K10" s="39"/>
      <c r="L10" s="36">
        <v>1</v>
      </c>
      <c r="M10" s="45">
        <v>47.5</v>
      </c>
      <c r="N10" s="57" t="s">
        <v>54</v>
      </c>
      <c r="O10" s="53" t="s">
        <v>11</v>
      </c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46</v>
      </c>
      <c r="I11" s="38"/>
      <c r="J11" s="39" t="s">
        <v>11</v>
      </c>
      <c r="K11" s="39"/>
      <c r="L11" s="36">
        <v>1</v>
      </c>
      <c r="M11" s="45"/>
      <c r="N11" s="57" t="s">
        <v>55</v>
      </c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48</v>
      </c>
      <c r="I12" s="38">
        <v>55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49</v>
      </c>
      <c r="I13" s="38">
        <f>SUM(D5:D6)*0.1</f>
        <v>826.13900000000001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50</v>
      </c>
      <c r="I14" s="38">
        <v>300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51</v>
      </c>
      <c r="I15" s="38">
        <v>1357.42</v>
      </c>
      <c r="J15" s="39" t="s">
        <v>11</v>
      </c>
      <c r="K15" s="39"/>
      <c r="L15" s="36"/>
      <c r="M15" s="45"/>
      <c r="N15" s="46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4028.72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9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3180-F1D6-4F3B-A61A-E430EDE8FA56}">
  <dimension ref="A1:S41"/>
  <sheetViews>
    <sheetView showGridLines="0" topLeftCell="C1" zoomScaleNormal="100" workbookViewId="0">
      <selection activeCell="I7" sqref="I7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19264.760000000002</v>
      </c>
      <c r="B2" s="76"/>
      <c r="C2" s="76"/>
      <c r="D2" s="76"/>
      <c r="E2" s="76"/>
      <c r="F2" s="69"/>
      <c r="G2" s="27"/>
      <c r="H2" s="77">
        <f>SUM(I4:I15)*-1</f>
        <v>-8258.8000000000011</v>
      </c>
      <c r="I2" s="77"/>
      <c r="J2" s="27"/>
      <c r="K2" s="27"/>
      <c r="L2" s="78">
        <f>SUM(M5:M16)*-1</f>
        <v>-2463.34</v>
      </c>
      <c r="M2" s="78"/>
      <c r="N2" s="78"/>
      <c r="O2" s="28"/>
      <c r="P2" s="79">
        <f>SUM(H2:N2)</f>
        <v>-10722.140000000001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56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803</v>
      </c>
      <c r="D5" s="43">
        <v>3697</v>
      </c>
      <c r="E5" s="73">
        <f>7206.28+13968.81</f>
        <v>21175.09</v>
      </c>
      <c r="F5" s="44">
        <f>IF(A2&gt;0,A2/2,"R$ 0,00")</f>
        <v>9632.380000000001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5</v>
      </c>
      <c r="M5" s="45">
        <f>57.48+177.2</f>
        <v>234.67999999999998</v>
      </c>
      <c r="N5" s="57" t="s">
        <v>57</v>
      </c>
      <c r="O5" s="39" t="s">
        <v>56</v>
      </c>
      <c r="P5" s="47"/>
      <c r="Q5" s="48">
        <f>SUMIF(J:J,"ok",I:I)+SUMIF(O:O,"ok",M:M)</f>
        <v>10722.140000000001</v>
      </c>
      <c r="R5" s="49">
        <f>P2+Q5</f>
        <v>0</v>
      </c>
      <c r="S5" s="32"/>
    </row>
    <row r="6" spans="1:19">
      <c r="A6" s="42" t="s">
        <v>20</v>
      </c>
      <c r="B6" s="43">
        <v>6174.52</v>
      </c>
      <c r="C6" s="43">
        <f>B6-D6</f>
        <v>1059.71</v>
      </c>
      <c r="D6" s="43">
        <v>5114.8100000000004</v>
      </c>
      <c r="E6" s="73"/>
      <c r="F6" s="44">
        <f>IF(A2&gt;0,A2/2,"R$ 0,00")</f>
        <v>9632.380000000001</v>
      </c>
      <c r="G6" s="39"/>
      <c r="H6" s="37" t="s">
        <v>21</v>
      </c>
      <c r="I6" s="38">
        <v>167.92</v>
      </c>
      <c r="J6" s="39" t="s">
        <v>11</v>
      </c>
      <c r="K6" s="39"/>
      <c r="L6" s="36">
        <v>2</v>
      </c>
      <c r="M6" s="45">
        <v>350.67</v>
      </c>
      <c r="N6" s="57" t="s">
        <v>44</v>
      </c>
      <c r="O6" s="53" t="s">
        <v>11</v>
      </c>
      <c r="P6" s="47"/>
      <c r="Q6" s="45"/>
      <c r="R6" s="46"/>
      <c r="S6" s="32"/>
    </row>
    <row r="7" spans="1:19" ht="15.75">
      <c r="A7" s="42" t="s">
        <v>3</v>
      </c>
      <c r="B7" s="50"/>
      <c r="C7" s="50"/>
      <c r="D7" s="51"/>
      <c r="E7" s="43">
        <f>D5+D6+E5</f>
        <v>29986.9</v>
      </c>
      <c r="F7" s="67"/>
      <c r="G7" s="39"/>
      <c r="H7" s="37" t="s">
        <v>25</v>
      </c>
      <c r="I7" s="38">
        <v>700</v>
      </c>
      <c r="J7" s="39" t="s">
        <v>11</v>
      </c>
      <c r="K7" s="39"/>
      <c r="L7" s="36">
        <v>1</v>
      </c>
      <c r="M7" s="45">
        <v>713.68</v>
      </c>
      <c r="N7" s="58" t="s">
        <v>58</v>
      </c>
      <c r="O7" s="39" t="s">
        <v>56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140.55000000000001</v>
      </c>
      <c r="N8" s="57" t="s">
        <v>28</v>
      </c>
      <c r="O8" s="53" t="s">
        <v>11</v>
      </c>
      <c r="P8" s="47"/>
      <c r="Q8" s="45"/>
      <c r="R8" s="46"/>
      <c r="S8" s="32"/>
    </row>
    <row r="9" spans="1:19">
      <c r="A9" s="52" t="s">
        <v>59</v>
      </c>
      <c r="B9" s="50">
        <v>526.04</v>
      </c>
      <c r="C9" s="50"/>
      <c r="D9" s="50"/>
      <c r="E9" s="50"/>
      <c r="F9" s="52"/>
      <c r="G9" s="39"/>
      <c r="H9" s="37" t="s">
        <v>43</v>
      </c>
      <c r="I9" s="38">
        <v>427.82</v>
      </c>
      <c r="J9" s="39" t="s">
        <v>11</v>
      </c>
      <c r="K9" s="39"/>
      <c r="L9" s="36">
        <v>1</v>
      </c>
      <c r="M9" s="45">
        <v>486.26</v>
      </c>
      <c r="N9" s="57" t="s">
        <v>60</v>
      </c>
      <c r="O9" s="53" t="s">
        <v>56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74.89</v>
      </c>
      <c r="J10" s="39" t="s">
        <v>11</v>
      </c>
      <c r="K10" s="39"/>
      <c r="L10" s="36">
        <v>1</v>
      </c>
      <c r="M10" s="45">
        <v>47.5</v>
      </c>
      <c r="N10" s="57" t="s">
        <v>54</v>
      </c>
      <c r="O10" s="53" t="s">
        <v>11</v>
      </c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55</v>
      </c>
      <c r="J11" s="39" t="s">
        <v>56</v>
      </c>
      <c r="K11" s="39"/>
      <c r="L11" s="36">
        <v>1</v>
      </c>
      <c r="M11" s="45">
        <v>490</v>
      </c>
      <c r="N11" s="57" t="s">
        <v>61</v>
      </c>
      <c r="O11" s="53" t="s">
        <v>56</v>
      </c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SUM(E7)*0.1</f>
        <v>2998.6900000000005</v>
      </c>
      <c r="J12" s="39" t="s">
        <v>56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56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/>
      <c r="I15" s="38"/>
      <c r="J15" s="39"/>
      <c r="K15" s="39"/>
      <c r="L15" s="36"/>
      <c r="M15" s="45"/>
      <c r="N15" s="46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3752.7299999999996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8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740-9AA4-4EFF-9D2E-AA991A0103D1}">
  <dimension ref="A1:S41"/>
  <sheetViews>
    <sheetView showGridLines="0" topLeftCell="C1" zoomScaleNormal="100" workbookViewId="0">
      <selection activeCell="I6" sqref="I6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-351.17400000000089</v>
      </c>
      <c r="B2" s="76"/>
      <c r="C2" s="76"/>
      <c r="D2" s="76"/>
      <c r="E2" s="76"/>
      <c r="F2" s="69"/>
      <c r="G2" s="27"/>
      <c r="H2" s="77">
        <f>SUM(I4:I15)*-1</f>
        <v>-5567.2340000000004</v>
      </c>
      <c r="I2" s="77"/>
      <c r="J2" s="27"/>
      <c r="K2" s="27"/>
      <c r="L2" s="78">
        <f>SUM(M5:M16)*-1</f>
        <v>-2442.5799999999995</v>
      </c>
      <c r="M2" s="78"/>
      <c r="N2" s="78"/>
      <c r="O2" s="28"/>
      <c r="P2" s="79">
        <f>SUM(H2:N2)</f>
        <v>-8009.8140000000003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684</v>
      </c>
      <c r="D5" s="43">
        <v>3816</v>
      </c>
      <c r="E5" s="73"/>
      <c r="F5" s="44" t="str">
        <f>IF(A2&gt;0,A2/2,"R$ 0,00")</f>
        <v>R$ 0,00</v>
      </c>
      <c r="G5" s="39"/>
      <c r="H5" s="37" t="s">
        <v>18</v>
      </c>
      <c r="I5" s="38">
        <v>134.22999999999999</v>
      </c>
      <c r="J5" s="39"/>
      <c r="K5" s="39"/>
      <c r="L5" s="36">
        <v>4</v>
      </c>
      <c r="M5" s="45">
        <v>234.64</v>
      </c>
      <c r="N5" s="57" t="s">
        <v>62</v>
      </c>
      <c r="O5" s="39" t="s">
        <v>11</v>
      </c>
      <c r="P5" s="47"/>
      <c r="Q5" s="48">
        <f>SUMIF(J:J,"ok",I:I)+SUMIF(O:O,"ok",M:M)</f>
        <v>7875.5839999999989</v>
      </c>
      <c r="R5" s="49">
        <f>P2+Q5</f>
        <v>-134.23000000000138</v>
      </c>
      <c r="S5" s="32"/>
    </row>
    <row r="6" spans="1:19">
      <c r="A6" s="42" t="s">
        <v>20</v>
      </c>
      <c r="B6" s="43">
        <v>6458.55</v>
      </c>
      <c r="C6" s="43">
        <f>B6-D6</f>
        <v>2615.9100000000003</v>
      </c>
      <c r="D6" s="43">
        <v>3842.64</v>
      </c>
      <c r="E6" s="73"/>
      <c r="F6" s="44" t="str">
        <f>IF(A2&gt;0,A2/2,"R$ 0,00")</f>
        <v>R$ 0,00</v>
      </c>
      <c r="G6" s="39"/>
      <c r="H6" s="37" t="s">
        <v>21</v>
      </c>
      <c r="I6" s="38">
        <v>130.15</v>
      </c>
      <c r="J6" s="39" t="s">
        <v>11</v>
      </c>
      <c r="K6" s="39"/>
      <c r="L6" s="36">
        <v>1</v>
      </c>
      <c r="M6" s="45">
        <v>350.71</v>
      </c>
      <c r="N6" s="57" t="s">
        <v>44</v>
      </c>
      <c r="O6" s="53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7658.6399999999994</v>
      </c>
      <c r="F7" s="67"/>
      <c r="G7" s="39"/>
      <c r="H7" s="37" t="s">
        <v>25</v>
      </c>
      <c r="I7" s="38">
        <v>300</v>
      </c>
      <c r="J7" s="39" t="s">
        <v>11</v>
      </c>
      <c r="K7" s="39"/>
      <c r="L7" s="36">
        <v>7</v>
      </c>
      <c r="M7" s="45">
        <v>444.64</v>
      </c>
      <c r="N7" s="58" t="s">
        <v>63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991.68</v>
      </c>
      <c r="N8" s="57" t="s">
        <v>64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409.75</v>
      </c>
      <c r="J9" s="39" t="s">
        <v>11</v>
      </c>
      <c r="K9" s="39"/>
      <c r="L9" s="36">
        <v>1</v>
      </c>
      <c r="M9" s="45">
        <v>47.5</v>
      </c>
      <c r="N9" s="57" t="s">
        <v>54</v>
      </c>
      <c r="O9" s="53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66.989999999999995</v>
      </c>
      <c r="J10" s="39" t="s">
        <v>11</v>
      </c>
      <c r="K10" s="39"/>
      <c r="L10" s="36">
        <v>1</v>
      </c>
      <c r="M10" s="45">
        <v>373.41</v>
      </c>
      <c r="N10" s="57" t="s">
        <v>28</v>
      </c>
      <c r="O10" s="53" t="s">
        <v>11</v>
      </c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60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SUM(D5:D6)*0.1</f>
        <v>765.86400000000003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/>
      <c r="I15" s="38"/>
      <c r="J15" s="39"/>
      <c r="K15" s="39"/>
      <c r="L15" s="36"/>
      <c r="M15" s="45"/>
      <c r="N15" s="46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5814.34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801-ECAB-4580-A364-7A6F2E20C58A}">
  <dimension ref="A1:S41"/>
  <sheetViews>
    <sheetView showGridLines="0" topLeftCell="C1" zoomScaleNormal="100" workbookViewId="0">
      <selection activeCell="L10" sqref="L10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-51.704000000001543</v>
      </c>
      <c r="B2" s="76"/>
      <c r="C2" s="76"/>
      <c r="D2" s="76"/>
      <c r="E2" s="76"/>
      <c r="F2" s="69"/>
      <c r="G2" s="27"/>
      <c r="H2" s="77">
        <f>SUM(I4:I15)*-1</f>
        <v>-6035.5940000000001</v>
      </c>
      <c r="I2" s="77"/>
      <c r="J2" s="27"/>
      <c r="K2" s="27"/>
      <c r="L2" s="78">
        <f>SUM(M5:M16)*-1</f>
        <v>-2790.75</v>
      </c>
      <c r="M2" s="78"/>
      <c r="N2" s="78"/>
      <c r="O2" s="28"/>
      <c r="P2" s="79">
        <f>SUM(H2:N2)</f>
        <v>-8826.344000000001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512</v>
      </c>
      <c r="D5" s="43">
        <v>3988</v>
      </c>
      <c r="E5" s="73"/>
      <c r="F5" s="44" t="str">
        <f>IF(A2&gt;0,A2/2,"R$ 0,00")</f>
        <v>R$ 0,00</v>
      </c>
      <c r="G5" s="39"/>
      <c r="H5" s="37" t="s">
        <v>18</v>
      </c>
      <c r="I5" s="38">
        <v>134.22999999999999</v>
      </c>
      <c r="J5" s="39"/>
      <c r="K5" s="39"/>
      <c r="L5" s="36">
        <v>4</v>
      </c>
      <c r="M5" s="45">
        <v>234.64</v>
      </c>
      <c r="N5" s="57" t="s">
        <v>62</v>
      </c>
      <c r="O5" s="39" t="s">
        <v>11</v>
      </c>
      <c r="P5" s="47"/>
      <c r="Q5" s="48">
        <f>SUMIF(J:J,"ok",I:I)+SUMIF(O:O,"ok",M:M)</f>
        <v>8692.1139999999996</v>
      </c>
      <c r="R5" s="49">
        <f>P2+Q5</f>
        <v>-134.23000000000138</v>
      </c>
      <c r="S5" s="32"/>
    </row>
    <row r="6" spans="1:19">
      <c r="A6" s="42" t="s">
        <v>20</v>
      </c>
      <c r="B6" s="43">
        <v>6458.55</v>
      </c>
      <c r="C6" s="43">
        <f>B6-D6</f>
        <v>1671.9099999999999</v>
      </c>
      <c r="D6" s="43">
        <v>4786.6400000000003</v>
      </c>
      <c r="E6" s="73"/>
      <c r="F6" s="44" t="str">
        <f>IF(A2&gt;0,A2/2,"R$ 0,00")</f>
        <v>R$ 0,00</v>
      </c>
      <c r="G6" s="39"/>
      <c r="H6" s="37" t="s">
        <v>21</v>
      </c>
      <c r="I6" s="38">
        <v>103.84</v>
      </c>
      <c r="J6" s="39" t="s">
        <v>11</v>
      </c>
      <c r="K6" s="39"/>
      <c r="L6" s="36">
        <v>7</v>
      </c>
      <c r="M6" s="45">
        <v>272.24</v>
      </c>
      <c r="N6" s="58" t="s">
        <v>63</v>
      </c>
      <c r="O6" s="39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8774.64</v>
      </c>
      <c r="F7" s="67"/>
      <c r="G7" s="39"/>
      <c r="H7" s="37" t="s">
        <v>25</v>
      </c>
      <c r="I7" s="38">
        <v>700</v>
      </c>
      <c r="J7" s="39" t="s">
        <v>11</v>
      </c>
      <c r="K7" s="39"/>
      <c r="L7" s="36">
        <v>1</v>
      </c>
      <c r="M7" s="45">
        <v>1838.11</v>
      </c>
      <c r="N7" s="57" t="s">
        <v>64</v>
      </c>
      <c r="O7" s="53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47.5</v>
      </c>
      <c r="N8" s="57" t="s">
        <v>54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416.57</v>
      </c>
      <c r="J9" s="39" t="s">
        <v>11</v>
      </c>
      <c r="K9" s="39"/>
      <c r="L9" s="36">
        <v>1</v>
      </c>
      <c r="M9" s="45">
        <v>398.26</v>
      </c>
      <c r="N9" s="57" t="s">
        <v>28</v>
      </c>
      <c r="O9" s="53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44.24</v>
      </c>
      <c r="J10" s="39" t="s">
        <v>11</v>
      </c>
      <c r="K10" s="39"/>
      <c r="L10" s="36"/>
      <c r="M10" s="45"/>
      <c r="N10" s="57"/>
      <c r="O10" s="53"/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59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SUM(D5:D6)*0.1</f>
        <v>877.46399999999994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/>
      <c r="I15" s="38"/>
      <c r="J15" s="39"/>
      <c r="K15" s="39"/>
      <c r="L15" s="36"/>
      <c r="M15" s="45"/>
      <c r="N15" s="45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5128.1099999999997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BAFE-5826-4F31-9D36-999C4198B6B5}">
  <dimension ref="A1:S41"/>
  <sheetViews>
    <sheetView showGridLines="0" topLeftCell="E1" zoomScaleNormal="100" workbookViewId="0">
      <selection activeCell="I6" sqref="I6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533.82999999999993</v>
      </c>
      <c r="B2" s="76"/>
      <c r="C2" s="76"/>
      <c r="D2" s="76"/>
      <c r="E2" s="76"/>
      <c r="F2" s="69"/>
      <c r="G2" s="27"/>
      <c r="H2" s="77">
        <f>SUM(I4:I15)*-1</f>
        <v>-5645.25</v>
      </c>
      <c r="I2" s="77"/>
      <c r="J2" s="27"/>
      <c r="K2" s="27"/>
      <c r="L2" s="78">
        <f>SUM(M5:M16)*-1</f>
        <v>-2920.52</v>
      </c>
      <c r="M2" s="78"/>
      <c r="N2" s="78"/>
      <c r="O2" s="28"/>
      <c r="P2" s="79">
        <f>SUM(H2:N2)</f>
        <v>-8565.77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447.7800000000002</v>
      </c>
      <c r="D5" s="43">
        <v>4052.22</v>
      </c>
      <c r="E5" s="73"/>
      <c r="F5" s="44">
        <f>IF(A2&gt;0,A2/2,"R$ 0,00")</f>
        <v>266.91499999999996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3</v>
      </c>
      <c r="M5" s="45">
        <v>234.64</v>
      </c>
      <c r="N5" s="57" t="s">
        <v>62</v>
      </c>
      <c r="O5" s="39" t="s">
        <v>11</v>
      </c>
      <c r="P5" s="47"/>
      <c r="Q5" s="48">
        <f>SUMIF(J:J,"ok",I:I)+SUMIF(O:O,"ok",M:M)</f>
        <v>8565.77</v>
      </c>
      <c r="R5" s="49">
        <f>P2+Q5</f>
        <v>0</v>
      </c>
      <c r="S5" s="32"/>
    </row>
    <row r="6" spans="1:19">
      <c r="A6" s="42" t="s">
        <v>20</v>
      </c>
      <c r="B6" s="43">
        <v>6458.55</v>
      </c>
      <c r="C6" s="43">
        <f>B6-D6</f>
        <v>1411.17</v>
      </c>
      <c r="D6" s="43">
        <v>5047.38</v>
      </c>
      <c r="E6" s="73"/>
      <c r="F6" s="44">
        <f>IF(A2&gt;0,A2/2,"R$ 0,00")</f>
        <v>266.91499999999996</v>
      </c>
      <c r="G6" s="39"/>
      <c r="H6" s="37" t="s">
        <v>21</v>
      </c>
      <c r="I6" s="38">
        <v>238.99</v>
      </c>
      <c r="J6" s="39" t="s">
        <v>11</v>
      </c>
      <c r="K6" s="39"/>
      <c r="L6" s="36">
        <v>1</v>
      </c>
      <c r="M6" s="45">
        <v>1342.44</v>
      </c>
      <c r="N6" s="57" t="s">
        <v>42</v>
      </c>
      <c r="O6" s="39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9099.6</v>
      </c>
      <c r="F7" s="67"/>
      <c r="G7" s="39"/>
      <c r="H7" s="37" t="s">
        <v>25</v>
      </c>
      <c r="I7" s="38">
        <v>0</v>
      </c>
      <c r="J7" s="39" t="s">
        <v>11</v>
      </c>
      <c r="K7" s="39"/>
      <c r="L7" s="36">
        <v>1</v>
      </c>
      <c r="M7" s="45">
        <v>947.33</v>
      </c>
      <c r="N7" s="57" t="s">
        <v>65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396.11</v>
      </c>
      <c r="N8" s="57" t="s">
        <v>42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424.81</v>
      </c>
      <c r="J9" s="39" t="s">
        <v>11</v>
      </c>
      <c r="K9" s="39"/>
      <c r="L9" s="36"/>
      <c r="M9" s="45"/>
      <c r="N9" s="57"/>
      <c r="O9" s="53"/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78.010000000000005</v>
      </c>
      <c r="J10" s="39" t="s">
        <v>11</v>
      </c>
      <c r="K10" s="39"/>
      <c r="L10" s="36"/>
      <c r="M10" s="45"/>
      <c r="N10" s="57"/>
      <c r="O10" s="53"/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59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SUM(D5:D6)*0.1</f>
        <v>909.96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27</v>
      </c>
      <c r="I15" s="38">
        <v>100</v>
      </c>
      <c r="J15" s="39" t="s">
        <v>11</v>
      </c>
      <c r="K15" s="39"/>
      <c r="L15" s="36"/>
      <c r="M15" s="45"/>
      <c r="N15" s="45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3389.8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5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6E08-66E1-4E50-A87F-25C899C2EBD2}">
  <dimension ref="A1:S41"/>
  <sheetViews>
    <sheetView showGridLines="0" topLeftCell="G1" zoomScaleNormal="100" workbookViewId="0">
      <selection activeCell="K17" sqref="K17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-36.985999999998967</v>
      </c>
      <c r="B2" s="76"/>
      <c r="C2" s="76"/>
      <c r="D2" s="76"/>
      <c r="E2" s="76"/>
      <c r="F2" s="69"/>
      <c r="G2" s="27"/>
      <c r="H2" s="77">
        <f>SUM(I4:I15)*-1</f>
        <v>-6144.2559999999994</v>
      </c>
      <c r="I2" s="77"/>
      <c r="J2" s="27"/>
      <c r="K2" s="27"/>
      <c r="L2" s="78">
        <f>SUM(M5:M16)*-1</f>
        <v>-3195.39</v>
      </c>
      <c r="M2" s="78"/>
      <c r="N2" s="78"/>
      <c r="O2" s="28"/>
      <c r="P2" s="79">
        <f>SUM(H2:N2)</f>
        <v>-9339.6459999999988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506.32000000000016</v>
      </c>
      <c r="D5" s="43">
        <v>3993.68</v>
      </c>
      <c r="E5" s="73">
        <v>400</v>
      </c>
      <c r="F5" s="44" t="str">
        <f>IF(A2&gt;0,A2/2,"R$ 0,00")</f>
        <v>R$ 0,00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2</v>
      </c>
      <c r="M5" s="45">
        <v>234.64</v>
      </c>
      <c r="N5" s="57" t="s">
        <v>62</v>
      </c>
      <c r="O5" s="53" t="s">
        <v>11</v>
      </c>
      <c r="P5" s="47"/>
      <c r="Q5" s="48">
        <f>SUMIF(J:J,"ok",I:I)+SUMIF(O:O,"ok",M:M)</f>
        <v>7375.235999999999</v>
      </c>
      <c r="R5" s="49">
        <f>P2+Q5</f>
        <v>-1964.4099999999999</v>
      </c>
      <c r="S5" s="32"/>
    </row>
    <row r="6" spans="1:19">
      <c r="A6" s="42" t="s">
        <v>20</v>
      </c>
      <c r="B6" s="43">
        <v>6910.65</v>
      </c>
      <c r="C6" s="43">
        <f>B6-D6</f>
        <v>2001.67</v>
      </c>
      <c r="D6" s="43">
        <v>4908.9799999999996</v>
      </c>
      <c r="E6" s="73"/>
      <c r="F6" s="44" t="str">
        <f>IF(A2&gt;0,A2/2,"R$ 0,00")</f>
        <v>R$ 0,00</v>
      </c>
      <c r="G6" s="39"/>
      <c r="H6" s="37" t="s">
        <v>21</v>
      </c>
      <c r="I6" s="38">
        <v>248.68</v>
      </c>
      <c r="J6" s="39" t="s">
        <v>11</v>
      </c>
      <c r="K6" s="39"/>
      <c r="L6" s="36">
        <v>1</v>
      </c>
      <c r="M6" s="45">
        <v>1288.3800000000001</v>
      </c>
      <c r="N6" s="57" t="s">
        <v>42</v>
      </c>
      <c r="O6" s="53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9302.66</v>
      </c>
      <c r="F7" s="67"/>
      <c r="G7" s="39"/>
      <c r="H7" s="37" t="s">
        <v>25</v>
      </c>
      <c r="I7" s="38">
        <v>300</v>
      </c>
      <c r="J7" s="39" t="s">
        <v>11</v>
      </c>
      <c r="K7" s="39"/>
      <c r="L7" s="36">
        <v>1</v>
      </c>
      <c r="M7" s="45">
        <v>674.56</v>
      </c>
      <c r="N7" s="57" t="s">
        <v>65</v>
      </c>
      <c r="O7" s="53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4</v>
      </c>
      <c r="M8" s="45">
        <v>65</v>
      </c>
      <c r="N8" s="57" t="s">
        <v>66</v>
      </c>
      <c r="O8" s="53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606.99</v>
      </c>
      <c r="J9" s="39" t="s">
        <v>67</v>
      </c>
      <c r="K9" s="39"/>
      <c r="L9" s="36">
        <v>1</v>
      </c>
      <c r="M9" s="45">
        <v>258.93</v>
      </c>
      <c r="N9" s="57" t="s">
        <v>28</v>
      </c>
      <c r="O9" s="53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104.84</v>
      </c>
      <c r="J10" s="39" t="s">
        <v>11</v>
      </c>
      <c r="K10" s="39"/>
      <c r="L10" s="36">
        <v>1</v>
      </c>
      <c r="M10" s="45">
        <f>165.72*2</f>
        <v>331.44</v>
      </c>
      <c r="N10" s="57" t="s">
        <v>68</v>
      </c>
      <c r="O10" s="53" t="s">
        <v>11</v>
      </c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59</v>
      </c>
      <c r="J11" s="39" t="s">
        <v>11</v>
      </c>
      <c r="K11" s="39"/>
      <c r="L11" s="36">
        <v>1</v>
      </c>
      <c r="M11" s="45">
        <v>342.44</v>
      </c>
      <c r="N11" s="57" t="s">
        <v>69</v>
      </c>
      <c r="O11" s="53" t="s">
        <v>11</v>
      </c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SUM(D5:D6)*0.1</f>
        <v>890.26600000000008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67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27</v>
      </c>
      <c r="I15" s="38">
        <v>100</v>
      </c>
      <c r="J15" s="39" t="s">
        <v>11</v>
      </c>
      <c r="K15" s="39"/>
      <c r="L15" s="36"/>
      <c r="M15" s="45"/>
      <c r="N15" s="45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5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3625.03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4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5C84-C0F0-4842-A94C-98F74B8B501A}">
  <dimension ref="A1:S41"/>
  <sheetViews>
    <sheetView showGridLines="0" zoomScaleNormal="100" workbookViewId="0">
      <selection activeCell="E15" sqref="E15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46.42578125" style="25" bestFit="1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912.09000000000015</v>
      </c>
      <c r="B2" s="76"/>
      <c r="C2" s="76"/>
      <c r="D2" s="76"/>
      <c r="E2" s="76"/>
      <c r="F2" s="69"/>
      <c r="G2" s="27"/>
      <c r="H2" s="77">
        <f>SUM(I4:I15)*-1</f>
        <v>-5850.14</v>
      </c>
      <c r="I2" s="77"/>
      <c r="J2" s="27"/>
      <c r="K2" s="27"/>
      <c r="L2" s="78">
        <f>SUM(M5:M16)*-1</f>
        <v>-1279.77</v>
      </c>
      <c r="M2" s="78"/>
      <c r="N2" s="78"/>
      <c r="O2" s="28"/>
      <c r="P2" s="79">
        <f>SUM(H2:N2)</f>
        <v>-7129.91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556</v>
      </c>
      <c r="D5" s="43">
        <v>3944</v>
      </c>
      <c r="E5" s="73"/>
      <c r="F5" s="44">
        <f>IF(A2&gt;0,A2/2,"R$ 0,00")</f>
        <v>456.04500000000007</v>
      </c>
      <c r="G5" s="39"/>
      <c r="H5" s="37" t="s">
        <v>18</v>
      </c>
      <c r="I5" s="38">
        <v>134.22999999999999</v>
      </c>
      <c r="J5" s="39" t="s">
        <v>11</v>
      </c>
      <c r="K5" s="39"/>
      <c r="L5" s="36">
        <v>1</v>
      </c>
      <c r="M5" s="45">
        <v>596.76</v>
      </c>
      <c r="N5" s="57" t="s">
        <v>42</v>
      </c>
      <c r="O5" s="39" t="s">
        <v>11</v>
      </c>
      <c r="P5" s="47"/>
      <c r="Q5" s="48">
        <f>SUMIF(J:J,"ok",I:I)+SUMIF(O:O,"ok",M:M)</f>
        <v>7129.91</v>
      </c>
      <c r="R5" s="49">
        <f>P2+Q5</f>
        <v>0</v>
      </c>
      <c r="S5" s="32"/>
    </row>
    <row r="6" spans="1:19">
      <c r="A6" s="42" t="s">
        <v>20</v>
      </c>
      <c r="B6" s="43">
        <v>6910.65</v>
      </c>
      <c r="C6" s="43">
        <f>B6-D6</f>
        <v>2812.6499999999996</v>
      </c>
      <c r="D6" s="43">
        <v>4098</v>
      </c>
      <c r="E6" s="73"/>
      <c r="F6" s="44">
        <f>IF(A2&gt;0,A2/2,"R$ 0,00")</f>
        <v>456.04500000000007</v>
      </c>
      <c r="G6" s="39"/>
      <c r="H6" s="37" t="s">
        <v>21</v>
      </c>
      <c r="I6" s="38">
        <v>222.26</v>
      </c>
      <c r="J6" s="39" t="s">
        <v>11</v>
      </c>
      <c r="K6" s="39"/>
      <c r="L6" s="36">
        <v>1</v>
      </c>
      <c r="M6" s="45">
        <v>558.01</v>
      </c>
      <c r="N6" s="57" t="s">
        <v>70</v>
      </c>
      <c r="O6" s="39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8042</v>
      </c>
      <c r="F7" s="67"/>
      <c r="G7" s="39"/>
      <c r="H7" s="37" t="s">
        <v>25</v>
      </c>
      <c r="I7" s="38">
        <v>300</v>
      </c>
      <c r="J7" s="39" t="s">
        <v>11</v>
      </c>
      <c r="K7" s="39"/>
      <c r="L7" s="36">
        <v>3</v>
      </c>
      <c r="M7" s="45">
        <v>65</v>
      </c>
      <c r="N7" s="57" t="s">
        <v>71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1</v>
      </c>
      <c r="M8" s="45">
        <v>0</v>
      </c>
      <c r="N8" s="57" t="s">
        <v>28</v>
      </c>
      <c r="O8" s="39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416.77</v>
      </c>
      <c r="J9" s="39" t="s">
        <v>11</v>
      </c>
      <c r="K9" s="39"/>
      <c r="L9" s="36">
        <v>1</v>
      </c>
      <c r="M9" s="45">
        <v>60</v>
      </c>
      <c r="N9" s="57" t="s">
        <v>72</v>
      </c>
      <c r="O9" s="39" t="s">
        <v>11</v>
      </c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113.43</v>
      </c>
      <c r="J10" s="39" t="s">
        <v>11</v>
      </c>
      <c r="K10" s="39"/>
      <c r="L10" s="36"/>
      <c r="M10" s="45"/>
      <c r="N10" s="57"/>
      <c r="O10" s="39"/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59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SUM(E7)*0.1</f>
        <v>804.2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27</v>
      </c>
      <c r="I15" s="38">
        <v>100</v>
      </c>
      <c r="J15" s="39" t="s">
        <v>11</v>
      </c>
      <c r="K15" s="39"/>
      <c r="L15" s="36"/>
      <c r="M15" s="45"/>
      <c r="N15" s="45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52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1409.77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39"/>
      <c r="F29" s="39"/>
      <c r="G29" s="39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C454-2148-4C95-AE77-5B5F6740F755}">
  <dimension ref="A1:S41"/>
  <sheetViews>
    <sheetView showGridLines="0" zoomScaleNormal="100" workbookViewId="0">
      <selection activeCell="K25" sqref="J25:K26"/>
    </sheetView>
  </sheetViews>
  <sheetFormatPr defaultColWidth="13.28515625" defaultRowHeight="15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26" style="25" customWidth="1"/>
    <col min="15" max="16384" width="13.28515625" style="25"/>
  </cols>
  <sheetData>
    <row r="1" spans="1:19" ht="33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8">
      <c r="A2" s="76">
        <f>E7+P2</f>
        <v>480.52999999999884</v>
      </c>
      <c r="B2" s="76"/>
      <c r="C2" s="76"/>
      <c r="D2" s="76"/>
      <c r="E2" s="76"/>
      <c r="F2" s="69"/>
      <c r="G2" s="27"/>
      <c r="H2" s="77">
        <f>SUM(I4:I15)*-1</f>
        <v>-6117.9700000000012</v>
      </c>
      <c r="I2" s="77"/>
      <c r="J2" s="27"/>
      <c r="K2" s="27"/>
      <c r="L2" s="78">
        <f>SUM(M5:M16)*-1</f>
        <v>-3257.5</v>
      </c>
      <c r="M2" s="78"/>
      <c r="N2" s="78"/>
      <c r="O2" s="28"/>
      <c r="P2" s="79">
        <f>SUM(H2:N2)</f>
        <v>-9375.4700000000012</v>
      </c>
      <c r="Q2" s="79"/>
      <c r="R2" s="79"/>
      <c r="S2" s="27"/>
    </row>
    <row r="3" spans="1:19" ht="16.5" customHeight="1">
      <c r="A3" s="69"/>
      <c r="B3" s="69"/>
      <c r="C3" s="69"/>
      <c r="D3" s="69"/>
      <c r="E3" s="69"/>
      <c r="F3" s="69"/>
      <c r="G3" s="27"/>
      <c r="H3" s="37"/>
      <c r="I3" s="38"/>
      <c r="J3" s="3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37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>
      <c r="A5" s="42" t="s">
        <v>17</v>
      </c>
      <c r="B5" s="43">
        <v>4500</v>
      </c>
      <c r="C5" s="43">
        <f>B5-D5</f>
        <v>544</v>
      </c>
      <c r="D5" s="43">
        <v>3956</v>
      </c>
      <c r="E5" s="73"/>
      <c r="F5" s="44">
        <f>IF(A2&gt;0,A2/2,"R$ 0,00")</f>
        <v>240.26499999999942</v>
      </c>
      <c r="G5" s="39"/>
      <c r="H5" s="37" t="s">
        <v>18</v>
      </c>
      <c r="I5" s="38">
        <v>141.29</v>
      </c>
      <c r="J5" s="39" t="s">
        <v>11</v>
      </c>
      <c r="K5" s="39"/>
      <c r="L5" s="36">
        <v>1</v>
      </c>
      <c r="M5" s="45">
        <v>450</v>
      </c>
      <c r="N5" s="57" t="s">
        <v>42</v>
      </c>
      <c r="O5" s="39" t="s">
        <v>11</v>
      </c>
      <c r="P5" s="47"/>
      <c r="Q5" s="48">
        <f>SUMIF(J:J,"ok",I:I)+SUMIF(O:O,"ok",M:M)</f>
        <v>9375.4700000000012</v>
      </c>
      <c r="R5" s="49">
        <f>P2+Q5</f>
        <v>0</v>
      </c>
      <c r="S5" s="32"/>
    </row>
    <row r="6" spans="1:19">
      <c r="A6" s="42" t="s">
        <v>20</v>
      </c>
      <c r="B6" s="43">
        <v>6910.65</v>
      </c>
      <c r="C6" s="43">
        <f>B6-D6</f>
        <v>1010.6499999999996</v>
      </c>
      <c r="D6" s="43">
        <v>5900</v>
      </c>
      <c r="E6" s="73"/>
      <c r="F6" s="44">
        <f>IF(A2&gt;0,A2/2,"R$ 0,00")</f>
        <v>240.26499999999942</v>
      </c>
      <c r="G6" s="39"/>
      <c r="H6" s="37" t="s">
        <v>21</v>
      </c>
      <c r="I6" s="38">
        <v>216.78</v>
      </c>
      <c r="J6" s="39" t="s">
        <v>11</v>
      </c>
      <c r="K6" s="39"/>
      <c r="L6" s="36">
        <v>1</v>
      </c>
      <c r="M6" s="45">
        <v>575.83000000000004</v>
      </c>
      <c r="N6" s="57" t="s">
        <v>73</v>
      </c>
      <c r="O6" s="39" t="s">
        <v>11</v>
      </c>
      <c r="P6" s="47"/>
      <c r="Q6" s="45"/>
      <c r="R6" s="46"/>
      <c r="S6" s="32"/>
    </row>
    <row r="7" spans="1:19">
      <c r="A7" s="42" t="s">
        <v>3</v>
      </c>
      <c r="B7" s="50"/>
      <c r="C7" s="50"/>
      <c r="D7" s="51"/>
      <c r="E7" s="43">
        <f>D5+D6+E5</f>
        <v>9856</v>
      </c>
      <c r="F7" s="67"/>
      <c r="G7" s="39"/>
      <c r="H7" s="37" t="s">
        <v>25</v>
      </c>
      <c r="I7" s="38">
        <v>300</v>
      </c>
      <c r="J7" s="39" t="s">
        <v>11</v>
      </c>
      <c r="K7" s="39"/>
      <c r="L7" s="36">
        <v>2</v>
      </c>
      <c r="M7" s="45">
        <v>65</v>
      </c>
      <c r="N7" s="57" t="s">
        <v>71</v>
      </c>
      <c r="O7" s="39" t="s">
        <v>11</v>
      </c>
      <c r="P7" s="47"/>
      <c r="Q7" s="45"/>
      <c r="R7" s="46"/>
      <c r="S7" s="32"/>
    </row>
    <row r="8" spans="1:19">
      <c r="A8" s="42"/>
      <c r="B8" s="50"/>
      <c r="C8" s="50"/>
      <c r="D8" s="50"/>
      <c r="E8" s="43"/>
      <c r="F8" s="52"/>
      <c r="G8" s="39"/>
      <c r="H8" s="37" t="s">
        <v>41</v>
      </c>
      <c r="I8" s="38">
        <v>69.44</v>
      </c>
      <c r="J8" s="39" t="s">
        <v>11</v>
      </c>
      <c r="K8" s="39"/>
      <c r="L8" s="36">
        <v>24</v>
      </c>
      <c r="M8" s="45">
        <v>2166.67</v>
      </c>
      <c r="N8" s="57" t="s">
        <v>74</v>
      </c>
      <c r="O8" s="39" t="s">
        <v>11</v>
      </c>
      <c r="P8" s="47"/>
      <c r="Q8" s="45"/>
      <c r="R8" s="46"/>
      <c r="S8" s="32"/>
    </row>
    <row r="9" spans="1:19">
      <c r="A9" s="52"/>
      <c r="B9" s="50"/>
      <c r="C9" s="50"/>
      <c r="D9" s="50"/>
      <c r="E9" s="50"/>
      <c r="F9" s="52"/>
      <c r="G9" s="39"/>
      <c r="H9" s="37" t="s">
        <v>43</v>
      </c>
      <c r="I9" s="38">
        <v>508.96</v>
      </c>
      <c r="J9" s="39" t="s">
        <v>11</v>
      </c>
      <c r="K9" s="39"/>
      <c r="L9" s="36"/>
      <c r="M9" s="45"/>
      <c r="N9" s="57"/>
      <c r="O9" s="39"/>
      <c r="P9" s="47"/>
      <c r="Q9" s="45"/>
      <c r="R9" s="46"/>
      <c r="S9" s="32"/>
    </row>
    <row r="10" spans="1:19">
      <c r="A10" s="52"/>
      <c r="B10" s="52"/>
      <c r="C10" s="52"/>
      <c r="D10" s="52"/>
      <c r="E10" s="52"/>
      <c r="F10" s="52"/>
      <c r="G10" s="39"/>
      <c r="H10" s="37" t="s">
        <v>33</v>
      </c>
      <c r="I10" s="38">
        <v>106.09</v>
      </c>
      <c r="J10" s="39" t="s">
        <v>11</v>
      </c>
      <c r="K10" s="39"/>
      <c r="L10" s="36"/>
      <c r="M10" s="45"/>
      <c r="N10" s="57"/>
      <c r="O10" s="39"/>
      <c r="P10" s="47"/>
      <c r="Q10" s="45"/>
      <c r="R10" s="46"/>
      <c r="S10" s="32"/>
    </row>
    <row r="11" spans="1:19">
      <c r="A11" s="42"/>
      <c r="B11" s="52"/>
      <c r="C11" s="52"/>
      <c r="D11" s="52"/>
      <c r="E11" s="52"/>
      <c r="F11" s="52"/>
      <c r="G11" s="39"/>
      <c r="H11" s="37" t="s">
        <v>48</v>
      </c>
      <c r="I11" s="38">
        <v>59</v>
      </c>
      <c r="J11" s="39" t="s">
        <v>11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>
      <c r="A12" s="42"/>
      <c r="B12" s="52"/>
      <c r="C12" s="52"/>
      <c r="D12" s="52"/>
      <c r="E12" s="52"/>
      <c r="F12" s="52"/>
      <c r="G12" s="39"/>
      <c r="H12" s="37" t="s">
        <v>49</v>
      </c>
      <c r="I12" s="38">
        <f>SUM(E7)*0.1</f>
        <v>985.6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>
      <c r="A13" s="42"/>
      <c r="B13" s="52"/>
      <c r="C13" s="52"/>
      <c r="D13" s="52"/>
      <c r="E13" s="52"/>
      <c r="F13" s="52"/>
      <c r="G13" s="39"/>
      <c r="H13" s="37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>
      <c r="A14" s="52"/>
      <c r="B14" s="52"/>
      <c r="C14" s="52"/>
      <c r="D14" s="52"/>
      <c r="E14" s="50"/>
      <c r="F14" s="52"/>
      <c r="G14" s="39"/>
      <c r="H14" s="37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>
      <c r="A15" s="52"/>
      <c r="B15" s="52"/>
      <c r="C15" s="52"/>
      <c r="D15" s="52"/>
      <c r="E15" s="50"/>
      <c r="F15" s="52"/>
      <c r="G15" s="39"/>
      <c r="H15" s="37" t="s">
        <v>27</v>
      </c>
      <c r="I15" s="38">
        <v>100</v>
      </c>
      <c r="J15" s="39" t="s">
        <v>11</v>
      </c>
      <c r="K15" s="39"/>
      <c r="L15" s="36"/>
      <c r="M15" s="45"/>
      <c r="N15" s="45"/>
      <c r="O15" s="47"/>
      <c r="P15" s="47"/>
      <c r="Q15" s="45"/>
      <c r="R15" s="46"/>
      <c r="S15" s="32"/>
    </row>
    <row r="16" spans="1:19">
      <c r="A16" s="52"/>
      <c r="B16" s="52"/>
      <c r="C16" s="52"/>
      <c r="D16" s="52"/>
      <c r="E16" s="50"/>
      <c r="F16" s="52"/>
      <c r="G16" s="39"/>
      <c r="H16" s="37"/>
      <c r="I16" s="38"/>
      <c r="J16" s="39"/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30.75" customHeight="1">
      <c r="A17" s="74"/>
      <c r="B17" s="74"/>
      <c r="C17" s="74"/>
      <c r="D17" s="74"/>
      <c r="E17" s="50"/>
      <c r="F17" s="52"/>
      <c r="G17" s="39"/>
      <c r="H17" s="37"/>
      <c r="I17" s="38"/>
      <c r="J17" s="39"/>
      <c r="K17" s="39"/>
      <c r="L17" s="56"/>
      <c r="M17" s="56"/>
      <c r="N17" s="56"/>
      <c r="O17" s="56"/>
      <c r="P17" s="47"/>
      <c r="Q17" s="45"/>
      <c r="R17" s="46"/>
      <c r="S17" s="32"/>
    </row>
    <row r="18" spans="1:19">
      <c r="A18" s="36"/>
      <c r="B18" s="36"/>
      <c r="C18" s="36"/>
      <c r="D18" s="36"/>
      <c r="E18" s="50"/>
      <c r="F18" s="52"/>
      <c r="G18" s="39"/>
      <c r="H18" s="37"/>
      <c r="I18" s="38"/>
      <c r="J18" s="39"/>
      <c r="K18" s="39"/>
      <c r="L18" s="36"/>
      <c r="M18" s="36"/>
      <c r="N18" s="36"/>
      <c r="O18" s="36"/>
      <c r="P18" s="47"/>
      <c r="Q18" s="45"/>
      <c r="R18" s="46"/>
      <c r="S18" s="32"/>
    </row>
    <row r="19" spans="1:19">
      <c r="A19" s="36"/>
      <c r="B19" s="45"/>
      <c r="C19" s="46"/>
      <c r="D19" s="47"/>
      <c r="E19" s="50"/>
      <c r="F19" s="52"/>
      <c r="G19" s="39"/>
      <c r="H19" s="37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>
      <c r="A20" s="36"/>
      <c r="B20" s="45"/>
      <c r="C20" s="46"/>
      <c r="D20" s="47"/>
      <c r="E20" s="50"/>
      <c r="F20" s="52"/>
      <c r="G20" s="39"/>
      <c r="H20" s="37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>
      <c r="A21" s="36"/>
      <c r="B21" s="45"/>
      <c r="C21" s="46"/>
      <c r="D21" s="47"/>
      <c r="E21" s="50"/>
      <c r="F21" s="52"/>
      <c r="G21" s="39"/>
      <c r="H21" s="37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>
      <c r="A22" s="36"/>
      <c r="B22" s="45"/>
      <c r="C22" s="46"/>
      <c r="D22" s="47"/>
      <c r="E22" s="52"/>
      <c r="F22" s="52"/>
      <c r="G22" s="39"/>
      <c r="H22" s="37"/>
      <c r="I22" s="38"/>
      <c r="J22" s="52"/>
      <c r="K22" s="39"/>
      <c r="L22" s="36" t="s">
        <v>3</v>
      </c>
      <c r="M22" s="49">
        <f>SUMPRODUCT(L5:L15,M5:M15)</f>
        <v>53155.91</v>
      </c>
      <c r="N22" s="46"/>
      <c r="O22" s="47"/>
      <c r="P22" s="47"/>
      <c r="Q22" s="45"/>
      <c r="R22" s="46"/>
      <c r="S22" s="32"/>
    </row>
    <row r="23" spans="1:19">
      <c r="A23" s="36"/>
      <c r="B23" s="52"/>
      <c r="C23" s="52"/>
      <c r="D23" s="52"/>
      <c r="E23" s="52"/>
      <c r="F23" s="52"/>
      <c r="G23" s="39"/>
      <c r="H23" s="37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>
      <c r="A24" s="36"/>
      <c r="B24" s="52"/>
      <c r="C24" s="52"/>
      <c r="D24" s="52"/>
      <c r="E24" s="52"/>
      <c r="F24" s="52"/>
      <c r="G24" s="39"/>
      <c r="H24" s="37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>
      <c r="A25" s="36"/>
      <c r="B25" s="52"/>
      <c r="C25" s="52"/>
      <c r="D25" s="52"/>
      <c r="E25" s="52"/>
      <c r="F25" s="52"/>
      <c r="G25" s="39"/>
      <c r="H25" s="37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>
      <c r="A26" s="36"/>
      <c r="B26" s="52"/>
      <c r="C26" s="52"/>
      <c r="D26" s="52"/>
      <c r="E26" s="52"/>
      <c r="F26" s="52"/>
      <c r="G26" s="39"/>
      <c r="H26" s="37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>
      <c r="A27" s="67"/>
      <c r="B27" s="49"/>
      <c r="C27" s="52"/>
      <c r="D27" s="52"/>
      <c r="E27" s="52"/>
      <c r="F27" s="52"/>
      <c r="G27" s="39"/>
      <c r="H27" s="37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>
      <c r="A28" s="67"/>
      <c r="B28" s="49"/>
      <c r="C28" s="52"/>
      <c r="D28" s="52"/>
      <c r="E28" s="52"/>
      <c r="F28" s="52"/>
      <c r="G28" s="39"/>
      <c r="H28" s="37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>
      <c r="A29" s="39"/>
      <c r="B29" s="52"/>
      <c r="C29" s="39"/>
      <c r="D29" s="39"/>
      <c r="E29" s="52"/>
      <c r="F29" s="39"/>
      <c r="G29" s="52"/>
      <c r="H29" s="37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>
      <c r="A30" s="36"/>
      <c r="B30" s="45"/>
      <c r="C30" s="57"/>
      <c r="D30" s="39"/>
      <c r="E30" s="39"/>
      <c r="F30" s="39"/>
      <c r="G30" s="39"/>
      <c r="H30" s="37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>
      <c r="A31" s="32"/>
      <c r="B31" s="24"/>
      <c r="C31" s="32"/>
      <c r="D31" s="32"/>
      <c r="E31" s="32"/>
      <c r="F31" s="32"/>
      <c r="G31" s="32"/>
      <c r="H31" s="30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>
      <c r="A32" s="32"/>
      <c r="B32" s="24"/>
      <c r="C32" s="32"/>
      <c r="D32" s="32"/>
      <c r="E32" s="32"/>
      <c r="F32" s="32"/>
      <c r="G32" s="32"/>
      <c r="H32" s="30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>
      <c r="A33" s="32"/>
      <c r="B33" s="24"/>
      <c r="C33" s="32"/>
      <c r="D33" s="32"/>
      <c r="E33" s="32"/>
      <c r="F33" s="32"/>
      <c r="G33" s="32"/>
      <c r="H33" s="30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>
      <c r="A34" s="32"/>
      <c r="B34" s="24"/>
      <c r="C34" s="32"/>
      <c r="D34" s="32"/>
      <c r="E34" s="32"/>
      <c r="F34" s="32"/>
      <c r="G34" s="32"/>
      <c r="H34" s="30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>
      <c r="A35" s="32"/>
      <c r="B35" s="24"/>
      <c r="C35" s="32"/>
      <c r="D35" s="32"/>
      <c r="E35" s="32"/>
      <c r="F35" s="32"/>
      <c r="G35" s="32"/>
      <c r="H35" s="30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>
      <c r="A36" s="32"/>
      <c r="B36" s="24"/>
      <c r="C36" s="32"/>
      <c r="D36" s="32"/>
      <c r="E36" s="32"/>
      <c r="F36" s="32"/>
      <c r="G36" s="32"/>
      <c r="H36" s="30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>
      <c r="A37" s="32"/>
      <c r="B37" s="24"/>
      <c r="C37" s="32"/>
      <c r="D37" s="32"/>
      <c r="E37" s="32"/>
      <c r="F37" s="32"/>
      <c r="G37" s="32"/>
      <c r="H37" s="30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6067-DF00-4ECA-B745-CA85BB6E3D67}">
  <dimension ref="A1:S41"/>
  <sheetViews>
    <sheetView showGridLines="0" zoomScaleNormal="100" workbookViewId="0">
      <selection activeCell="L14" sqref="L14"/>
    </sheetView>
  </sheetViews>
  <sheetFormatPr defaultColWidth="13.28515625" defaultRowHeight="17.25" customHeight="1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5.85546875" style="25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15.28515625" style="25" bestFit="1" customWidth="1"/>
    <col min="14" max="14" width="26" style="25" customWidth="1"/>
    <col min="15" max="16384" width="13.28515625" style="25"/>
  </cols>
  <sheetData>
    <row r="1" spans="1:19" ht="32.25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7.25" customHeight="1">
      <c r="A2" s="76">
        <f>E7+P2</f>
        <v>615.06099999999788</v>
      </c>
      <c r="B2" s="76"/>
      <c r="C2" s="76"/>
      <c r="D2" s="76"/>
      <c r="E2" s="76"/>
      <c r="F2" s="69"/>
      <c r="G2" s="27"/>
      <c r="H2" s="77">
        <f>SUM(I4:I20)*-1</f>
        <v>-9445.4089999999997</v>
      </c>
      <c r="I2" s="77"/>
      <c r="J2" s="27"/>
      <c r="K2" s="27"/>
      <c r="L2" s="78">
        <f>SUM(M5:M16)*-1</f>
        <v>-10345.11</v>
      </c>
      <c r="M2" s="78"/>
      <c r="N2" s="78"/>
      <c r="O2" s="28"/>
      <c r="P2" s="79">
        <f>SUM(H2:N2)</f>
        <v>-19790.519</v>
      </c>
      <c r="Q2" s="79"/>
      <c r="R2" s="79"/>
      <c r="S2" s="27"/>
    </row>
    <row r="3" spans="1:19" ht="17.2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 ht="17.25" customHeight="1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60" t="s">
        <v>10</v>
      </c>
      <c r="I4" s="38">
        <v>1973.39</v>
      </c>
      <c r="J4" s="39" t="s">
        <v>11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 ht="17.25" customHeight="1">
      <c r="A5" s="42" t="s">
        <v>17</v>
      </c>
      <c r="B5" s="43">
        <v>4500</v>
      </c>
      <c r="C5" s="43">
        <f>B5-D5</f>
        <v>544</v>
      </c>
      <c r="D5" s="43">
        <v>3956</v>
      </c>
      <c r="E5" s="73">
        <f>2612.89+4139+2500+2000</f>
        <v>11251.89</v>
      </c>
      <c r="F5" s="44">
        <f>IF(A2&gt;0,A2/2,"R$ 0,00")</f>
        <v>307.53049999999894</v>
      </c>
      <c r="G5" s="39"/>
      <c r="H5" s="60" t="s">
        <v>18</v>
      </c>
      <c r="I5" s="38">
        <v>141.29</v>
      </c>
      <c r="J5" s="39" t="s">
        <v>11</v>
      </c>
      <c r="K5" s="39"/>
      <c r="L5" s="36">
        <v>1</v>
      </c>
      <c r="M5" s="45">
        <v>1690.7</v>
      </c>
      <c r="N5" s="57" t="s">
        <v>42</v>
      </c>
      <c r="O5" s="39" t="s">
        <v>11</v>
      </c>
      <c r="P5" s="47"/>
      <c r="Q5" s="48">
        <f>SUMIF(J:J,"ok",I:I)+SUMIF(O:O,"ok",M:M)</f>
        <v>19898.839</v>
      </c>
      <c r="R5" s="49">
        <f>P2+Q5</f>
        <v>108.31999999999971</v>
      </c>
      <c r="S5" s="32"/>
    </row>
    <row r="6" spans="1:19" ht="17.25" customHeight="1">
      <c r="A6" s="42" t="s">
        <v>20</v>
      </c>
      <c r="B6" s="43">
        <v>6910.65</v>
      </c>
      <c r="C6" s="43">
        <f>B6-D6</f>
        <v>1712.96</v>
      </c>
      <c r="D6" s="43">
        <v>5197.6899999999996</v>
      </c>
      <c r="E6" s="73"/>
      <c r="F6" s="44">
        <f>IF(A2&gt;0,A2/2,"R$ 0,00")</f>
        <v>307.53049999999894</v>
      </c>
      <c r="G6" s="39"/>
      <c r="H6" s="60" t="s">
        <v>21</v>
      </c>
      <c r="I6" s="38">
        <v>206.72</v>
      </c>
      <c r="J6" s="39" t="s">
        <v>11</v>
      </c>
      <c r="K6" s="39"/>
      <c r="L6" s="36">
        <v>1</v>
      </c>
      <c r="M6" s="45">
        <f>1177.91</f>
        <v>1177.9100000000001</v>
      </c>
      <c r="N6" s="57" t="s">
        <v>73</v>
      </c>
      <c r="O6" s="39" t="s">
        <v>11</v>
      </c>
      <c r="P6" s="47"/>
      <c r="Q6" s="45"/>
      <c r="R6" s="46"/>
      <c r="S6" s="32"/>
    </row>
    <row r="7" spans="1:19" ht="17.25" customHeight="1">
      <c r="A7" s="42" t="s">
        <v>3</v>
      </c>
      <c r="B7" s="50"/>
      <c r="C7" s="50"/>
      <c r="D7" s="51"/>
      <c r="E7" s="43">
        <f>D5+D6+E5</f>
        <v>20405.579999999998</v>
      </c>
      <c r="F7" s="67"/>
      <c r="G7" s="39"/>
      <c r="H7" s="60" t="s">
        <v>25</v>
      </c>
      <c r="I7" s="38">
        <v>300</v>
      </c>
      <c r="J7" s="39" t="s">
        <v>11</v>
      </c>
      <c r="K7" s="39"/>
      <c r="L7" s="36">
        <v>1</v>
      </c>
      <c r="M7" s="45">
        <v>65</v>
      </c>
      <c r="N7" s="57" t="s">
        <v>71</v>
      </c>
      <c r="O7" s="39" t="s">
        <v>11</v>
      </c>
      <c r="P7" s="47"/>
      <c r="Q7" s="45"/>
      <c r="R7" s="46"/>
      <c r="S7" s="32"/>
    </row>
    <row r="8" spans="1:19" ht="17.25" customHeight="1">
      <c r="A8" s="42"/>
      <c r="B8" s="50"/>
      <c r="C8" s="50"/>
      <c r="D8" s="50"/>
      <c r="E8" s="43"/>
      <c r="F8" s="52"/>
      <c r="G8" s="39"/>
      <c r="H8" s="60" t="s">
        <v>41</v>
      </c>
      <c r="I8" s="38">
        <v>65.7</v>
      </c>
      <c r="J8" s="39" t="s">
        <v>11</v>
      </c>
      <c r="K8" s="39"/>
      <c r="L8" s="36">
        <v>23</v>
      </c>
      <c r="M8" s="45">
        <v>2166.67</v>
      </c>
      <c r="N8" s="57" t="s">
        <v>74</v>
      </c>
      <c r="O8" s="39" t="s">
        <v>11</v>
      </c>
      <c r="P8" s="47"/>
      <c r="Q8" s="45"/>
      <c r="R8" s="46"/>
      <c r="S8" s="32"/>
    </row>
    <row r="9" spans="1:19" ht="17.25" customHeight="1">
      <c r="A9" s="52"/>
      <c r="B9" s="50"/>
      <c r="C9" s="50"/>
      <c r="D9" s="50"/>
      <c r="E9" s="50"/>
      <c r="F9" s="52"/>
      <c r="G9" s="39"/>
      <c r="H9" s="60" t="s">
        <v>43</v>
      </c>
      <c r="I9" s="38">
        <v>574.76</v>
      </c>
      <c r="J9" s="39" t="s">
        <v>11</v>
      </c>
      <c r="K9" s="39"/>
      <c r="L9" s="36">
        <v>1</v>
      </c>
      <c r="M9" s="45">
        <v>1122.83</v>
      </c>
      <c r="N9" s="57" t="s">
        <v>28</v>
      </c>
      <c r="O9" s="39" t="s">
        <v>11</v>
      </c>
      <c r="P9" s="47"/>
      <c r="Q9" s="45"/>
      <c r="R9" s="46"/>
      <c r="S9" s="32"/>
    </row>
    <row r="10" spans="1:19" ht="17.25" customHeight="1">
      <c r="A10" s="52"/>
      <c r="B10" s="52"/>
      <c r="C10" s="52"/>
      <c r="D10" s="52"/>
      <c r="E10" s="52"/>
      <c r="F10" s="52"/>
      <c r="G10" s="39"/>
      <c r="H10" s="60" t="s">
        <v>33</v>
      </c>
      <c r="I10" s="38">
        <v>204.39</v>
      </c>
      <c r="J10" s="39" t="s">
        <v>11</v>
      </c>
      <c r="K10" s="39"/>
      <c r="L10" s="36"/>
      <c r="M10" s="45">
        <v>3762</v>
      </c>
      <c r="N10" s="57" t="s">
        <v>75</v>
      </c>
      <c r="O10" s="52" t="s">
        <v>11</v>
      </c>
      <c r="P10" s="47"/>
      <c r="Q10" s="45"/>
      <c r="R10" s="46"/>
      <c r="S10" s="32"/>
    </row>
    <row r="11" spans="1:19" ht="17.25" customHeight="1">
      <c r="A11" s="42"/>
      <c r="B11" s="52"/>
      <c r="C11" s="52"/>
      <c r="D11" s="52"/>
      <c r="E11" s="52"/>
      <c r="F11" s="52"/>
      <c r="G11" s="39"/>
      <c r="H11" s="60" t="s">
        <v>48</v>
      </c>
      <c r="I11" s="38">
        <v>59</v>
      </c>
      <c r="J11" s="39" t="s">
        <v>11</v>
      </c>
      <c r="K11" s="39"/>
      <c r="L11" s="36"/>
      <c r="M11" s="45">
        <v>360</v>
      </c>
      <c r="N11" s="57" t="s">
        <v>76</v>
      </c>
      <c r="O11" s="53" t="s">
        <v>11</v>
      </c>
      <c r="P11" s="47"/>
      <c r="Q11" s="45"/>
      <c r="R11" s="46"/>
      <c r="S11" s="32"/>
    </row>
    <row r="12" spans="1:19" ht="17.25" customHeight="1">
      <c r="A12" s="42"/>
      <c r="B12" s="52"/>
      <c r="C12" s="52"/>
      <c r="D12" s="52"/>
      <c r="E12" s="52"/>
      <c r="F12" s="52"/>
      <c r="G12" s="39"/>
      <c r="H12" s="60" t="s">
        <v>49</v>
      </c>
      <c r="I12" s="38">
        <f>SUM(D5:D6)*0.1</f>
        <v>915.36899999999991</v>
      </c>
      <c r="J12" s="39" t="s">
        <v>11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 ht="17.25" customHeight="1">
      <c r="A13" s="42"/>
      <c r="B13" s="52"/>
      <c r="C13" s="52"/>
      <c r="D13" s="52"/>
      <c r="E13" s="52"/>
      <c r="F13" s="52"/>
      <c r="G13" s="39"/>
      <c r="H13" s="60" t="s">
        <v>50</v>
      </c>
      <c r="I13" s="38">
        <v>300</v>
      </c>
      <c r="J13" s="39" t="s">
        <v>11</v>
      </c>
      <c r="K13" s="39"/>
      <c r="L13" s="36"/>
      <c r="M13" s="45"/>
      <c r="N13" s="57"/>
      <c r="O13" s="53"/>
      <c r="P13" s="47"/>
      <c r="Q13" s="45"/>
      <c r="R13" s="46"/>
      <c r="S13" s="32"/>
    </row>
    <row r="14" spans="1:19" ht="17.25" customHeight="1">
      <c r="A14" s="52"/>
      <c r="B14" s="52"/>
      <c r="C14" s="52"/>
      <c r="D14" s="52"/>
      <c r="E14" s="50"/>
      <c r="F14" s="52"/>
      <c r="G14" s="39"/>
      <c r="H14" s="60" t="s">
        <v>51</v>
      </c>
      <c r="I14" s="38">
        <v>1357.42</v>
      </c>
      <c r="J14" s="39" t="s">
        <v>11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 ht="17.25" customHeight="1">
      <c r="A15" s="52"/>
      <c r="B15" s="52"/>
      <c r="C15" s="52"/>
      <c r="D15" s="52"/>
      <c r="E15" s="50"/>
      <c r="F15" s="52"/>
      <c r="G15" s="39"/>
      <c r="H15" s="60" t="s">
        <v>27</v>
      </c>
      <c r="I15" s="38">
        <v>100</v>
      </c>
      <c r="J15" s="39" t="s">
        <v>11</v>
      </c>
      <c r="K15" s="39"/>
      <c r="L15" s="36"/>
      <c r="M15" s="45"/>
      <c r="N15" s="45"/>
      <c r="O15" s="47"/>
      <c r="P15" s="47"/>
      <c r="Q15" s="45"/>
      <c r="R15" s="46"/>
      <c r="S15" s="32"/>
    </row>
    <row r="16" spans="1:19" ht="17.25" customHeight="1">
      <c r="A16" s="52"/>
      <c r="B16" s="52"/>
      <c r="C16" s="52"/>
      <c r="D16" s="52"/>
      <c r="E16" s="50"/>
      <c r="F16" s="52"/>
      <c r="G16" s="39"/>
      <c r="H16" s="60" t="s">
        <v>77</v>
      </c>
      <c r="I16" s="38">
        <v>2409.83</v>
      </c>
      <c r="J16" s="39" t="s">
        <v>11</v>
      </c>
      <c r="K16" s="39"/>
      <c r="L16" s="36"/>
      <c r="M16" s="45"/>
      <c r="N16" s="46"/>
      <c r="O16" s="47"/>
      <c r="P16" s="47"/>
      <c r="Q16" s="45"/>
      <c r="R16" s="46"/>
      <c r="S16" s="32"/>
    </row>
    <row r="17" spans="1:19" ht="17.25" customHeight="1">
      <c r="A17" s="74"/>
      <c r="B17" s="74"/>
      <c r="C17" s="74"/>
      <c r="D17" s="74"/>
      <c r="E17" s="50"/>
      <c r="F17" s="52"/>
      <c r="G17" s="39"/>
      <c r="H17" s="60" t="s">
        <v>78</v>
      </c>
      <c r="I17" s="38">
        <v>669.68</v>
      </c>
      <c r="J17" s="39" t="s">
        <v>11</v>
      </c>
      <c r="K17" s="39"/>
      <c r="L17" s="56"/>
      <c r="M17" s="56"/>
      <c r="N17" s="56"/>
      <c r="O17" s="56"/>
      <c r="P17" s="47"/>
      <c r="Q17" s="45"/>
      <c r="R17" s="46"/>
      <c r="S17" s="32"/>
    </row>
    <row r="18" spans="1:19" ht="17.25" customHeight="1">
      <c r="A18" s="36"/>
      <c r="B18" s="36"/>
      <c r="C18" s="36"/>
      <c r="D18" s="36"/>
      <c r="E18" s="50"/>
      <c r="F18" s="52"/>
      <c r="G18" s="39"/>
      <c r="H18" s="60" t="s">
        <v>79</v>
      </c>
      <c r="I18" s="38">
        <v>39.15</v>
      </c>
      <c r="J18" s="39" t="s">
        <v>11</v>
      </c>
      <c r="K18" s="39"/>
      <c r="L18" s="36"/>
      <c r="M18" s="36"/>
      <c r="N18" s="36"/>
      <c r="O18" s="36"/>
      <c r="P18" s="47"/>
      <c r="Q18" s="45"/>
      <c r="R18" s="46"/>
      <c r="S18" s="32"/>
    </row>
    <row r="19" spans="1:19" ht="17.25" customHeight="1">
      <c r="A19" s="36"/>
      <c r="B19" s="45"/>
      <c r="C19" s="46"/>
      <c r="D19" s="47"/>
      <c r="E19" s="50"/>
      <c r="F19" s="52"/>
      <c r="G19" s="39"/>
      <c r="H19" s="60" t="s">
        <v>80</v>
      </c>
      <c r="I19" s="38">
        <v>38.29</v>
      </c>
      <c r="J19" s="39" t="s">
        <v>11</v>
      </c>
      <c r="K19" s="39"/>
      <c r="L19" s="36"/>
      <c r="M19" s="45"/>
      <c r="N19" s="46"/>
      <c r="O19" s="47"/>
      <c r="P19" s="47"/>
      <c r="Q19" s="45"/>
      <c r="R19" s="46"/>
      <c r="S19" s="32"/>
    </row>
    <row r="20" spans="1:19" ht="17.25" customHeight="1">
      <c r="A20" s="36"/>
      <c r="B20" s="45"/>
      <c r="C20" s="46"/>
      <c r="D20" s="47"/>
      <c r="E20" s="50"/>
      <c r="F20" s="52"/>
      <c r="G20" s="39"/>
      <c r="H20" s="60" t="s">
        <v>81</v>
      </c>
      <c r="I20" s="38">
        <f>(2.92+87.5)</f>
        <v>90.42</v>
      </c>
      <c r="J20" s="52" t="s">
        <v>11</v>
      </c>
      <c r="K20" s="39"/>
      <c r="L20" s="36"/>
      <c r="M20" s="45"/>
      <c r="N20" s="46"/>
      <c r="O20" s="47"/>
      <c r="P20" s="47"/>
      <c r="Q20" s="45"/>
      <c r="R20" s="46"/>
      <c r="S20" s="32"/>
    </row>
    <row r="21" spans="1:19" ht="17.25" customHeight="1">
      <c r="A21" s="36"/>
      <c r="B21" s="45"/>
      <c r="C21" s="46"/>
      <c r="D21" s="47"/>
      <c r="E21" s="50"/>
      <c r="F21" s="52"/>
      <c r="G21" s="39"/>
      <c r="H21" s="60" t="s">
        <v>82</v>
      </c>
      <c r="I21" s="38">
        <v>108.32</v>
      </c>
      <c r="J21" s="52" t="s">
        <v>11</v>
      </c>
      <c r="K21" s="39"/>
      <c r="L21" s="36"/>
      <c r="M21" s="45"/>
      <c r="N21" s="46"/>
      <c r="O21" s="47"/>
      <c r="P21" s="47"/>
      <c r="Q21" s="45"/>
      <c r="R21" s="46"/>
      <c r="S21" s="32"/>
    </row>
    <row r="22" spans="1:19" ht="17.25" customHeight="1">
      <c r="A22" s="36"/>
      <c r="B22" s="45"/>
      <c r="C22" s="46"/>
      <c r="D22" s="47"/>
      <c r="E22" s="52"/>
      <c r="F22" s="52"/>
      <c r="G22" s="39"/>
      <c r="H22" s="60"/>
      <c r="I22" s="38"/>
      <c r="J22" s="52"/>
      <c r="K22" s="39"/>
      <c r="L22" s="36" t="s">
        <v>3</v>
      </c>
      <c r="M22" s="49">
        <f>SUMPRODUCT(L5:L15,M5:M15)</f>
        <v>53889.850000000006</v>
      </c>
      <c r="N22" s="46"/>
      <c r="O22" s="47"/>
      <c r="P22" s="47"/>
      <c r="Q22" s="45"/>
      <c r="R22" s="46"/>
      <c r="S22" s="32"/>
    </row>
    <row r="23" spans="1:19" ht="17.25" customHeight="1">
      <c r="A23" s="36"/>
      <c r="B23" s="52"/>
      <c r="C23" s="52"/>
      <c r="D23" s="52"/>
      <c r="E23" s="52"/>
      <c r="F23" s="52"/>
      <c r="G23" s="39"/>
      <c r="H23" s="60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 ht="17.25" customHeight="1">
      <c r="A24" s="36"/>
      <c r="B24" s="52"/>
      <c r="C24" s="52"/>
      <c r="D24" s="52"/>
      <c r="E24" s="52"/>
      <c r="F24" s="52"/>
      <c r="G24" s="39"/>
      <c r="H24" s="60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 ht="17.25" customHeight="1">
      <c r="A25" s="36"/>
      <c r="B25" s="52"/>
      <c r="C25" s="52"/>
      <c r="D25" s="52"/>
      <c r="E25" s="52"/>
      <c r="F25" s="52"/>
      <c r="G25" s="52"/>
      <c r="H25" s="60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 ht="17.25" customHeight="1">
      <c r="A26" s="36"/>
      <c r="B26" s="52"/>
      <c r="C26" s="52"/>
      <c r="D26" s="52"/>
      <c r="E26" s="52"/>
      <c r="F26" s="52"/>
      <c r="G26" s="39"/>
      <c r="H26" s="60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 ht="17.25" customHeight="1">
      <c r="A27" s="67"/>
      <c r="B27" s="49"/>
      <c r="C27" s="52"/>
      <c r="D27" s="52"/>
      <c r="E27" s="52"/>
      <c r="F27" s="52"/>
      <c r="G27" s="39"/>
      <c r="H27" s="60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 ht="17.25" customHeight="1">
      <c r="A28" s="67"/>
      <c r="B28" s="49"/>
      <c r="C28" s="52"/>
      <c r="D28" s="52"/>
      <c r="E28" s="52"/>
      <c r="F28" s="52"/>
      <c r="G28" s="39"/>
      <c r="H28" s="60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 ht="17.25" customHeight="1">
      <c r="A29" s="39"/>
      <c r="B29" s="52"/>
      <c r="C29" s="39"/>
      <c r="D29" s="39"/>
      <c r="E29" s="39"/>
      <c r="F29" s="39"/>
      <c r="G29" s="39"/>
      <c r="H29" s="60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 ht="17.25" customHeight="1">
      <c r="A30" s="36"/>
      <c r="B30" s="45"/>
      <c r="C30" s="57"/>
      <c r="D30" s="39"/>
      <c r="E30" s="39"/>
      <c r="F30" s="39"/>
      <c r="G30" s="39"/>
      <c r="H30" s="60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 ht="17.25" customHeight="1">
      <c r="A31" s="32"/>
      <c r="B31" s="24"/>
      <c r="C31" s="32"/>
      <c r="D31" s="32"/>
      <c r="E31" s="32"/>
      <c r="F31" s="32"/>
      <c r="G31" s="32"/>
      <c r="H31" s="61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 ht="17.25" customHeight="1">
      <c r="A32" s="32"/>
      <c r="B32" s="24"/>
      <c r="C32" s="32"/>
      <c r="D32" s="32"/>
      <c r="E32" s="32"/>
      <c r="F32" s="32"/>
      <c r="G32" s="32"/>
      <c r="H32" s="61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 ht="17.25" customHeight="1">
      <c r="A33" s="32"/>
      <c r="B33" s="24"/>
      <c r="C33" s="32"/>
      <c r="D33" s="32"/>
      <c r="E33" s="32"/>
      <c r="F33" s="32"/>
      <c r="G33" s="32"/>
      <c r="H33" s="61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 ht="17.25" customHeight="1">
      <c r="A34" s="32"/>
      <c r="B34" s="24"/>
      <c r="C34" s="32"/>
      <c r="D34" s="32"/>
      <c r="E34" s="32"/>
      <c r="F34" s="32"/>
      <c r="G34" s="32"/>
      <c r="H34" s="61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 ht="17.25" customHeight="1">
      <c r="A35" s="32"/>
      <c r="B35" s="24"/>
      <c r="C35" s="32"/>
      <c r="D35" s="32"/>
      <c r="E35" s="32"/>
      <c r="F35" s="32"/>
      <c r="G35" s="32"/>
      <c r="H35" s="61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 ht="17.25" customHeight="1">
      <c r="A36" s="32"/>
      <c r="B36" s="24"/>
      <c r="C36" s="32"/>
      <c r="D36" s="32"/>
      <c r="E36" s="32"/>
      <c r="F36" s="32"/>
      <c r="G36" s="32"/>
      <c r="H36" s="61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 ht="17.25" customHeight="1">
      <c r="A37" s="32"/>
      <c r="B37" s="24"/>
      <c r="C37" s="32"/>
      <c r="D37" s="32"/>
      <c r="E37" s="32"/>
      <c r="F37" s="32"/>
      <c r="G37" s="32"/>
      <c r="H37" s="61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 ht="17.25" customHeight="1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 ht="17.25" customHeight="1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 ht="17.25" customHeight="1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 ht="17.25" customHeight="1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D3B1-EB93-48EE-B0E5-92C35F2F6ED9}">
  <dimension ref="A1:S41"/>
  <sheetViews>
    <sheetView showGridLines="0" tabSelected="1" topLeftCell="M1" zoomScaleNormal="100" workbookViewId="0">
      <selection activeCell="J14" sqref="J14"/>
    </sheetView>
  </sheetViews>
  <sheetFormatPr defaultColWidth="13.28515625" defaultRowHeight="17.25" customHeight="1"/>
  <cols>
    <col min="1" max="1" width="15.28515625" style="25" bestFit="1" customWidth="1"/>
    <col min="2" max="2" width="13.85546875" style="25" customWidth="1"/>
    <col min="3" max="3" width="15" style="25" bestFit="1" customWidth="1"/>
    <col min="4" max="4" width="11.5703125" style="25" bestFit="1" customWidth="1"/>
    <col min="5" max="5" width="17.5703125" style="25" bestFit="1" customWidth="1"/>
    <col min="6" max="6" width="17.28515625" style="25" customWidth="1"/>
    <col min="7" max="7" width="13.28515625" style="25" customWidth="1"/>
    <col min="8" max="8" width="21.42578125" style="25" bestFit="1" customWidth="1"/>
    <col min="9" max="9" width="14.28515625" style="25" bestFit="1" customWidth="1"/>
    <col min="10" max="10" width="10.7109375" style="25" bestFit="1" customWidth="1"/>
    <col min="11" max="12" width="9.140625" style="25" bestFit="1" customWidth="1"/>
    <col min="13" max="13" width="20.28515625" style="25" bestFit="1" customWidth="1"/>
    <col min="14" max="14" width="23.140625" style="25" customWidth="1"/>
    <col min="15" max="15" width="9.7109375" style="25" customWidth="1"/>
    <col min="16" max="16384" width="13.28515625" style="25"/>
  </cols>
  <sheetData>
    <row r="1" spans="1:19" ht="32.25" customHeight="1">
      <c r="A1" s="75" t="s">
        <v>0</v>
      </c>
      <c r="B1" s="75"/>
      <c r="C1" s="75"/>
      <c r="D1" s="75"/>
      <c r="E1" s="75"/>
      <c r="F1" s="68"/>
      <c r="G1" s="26"/>
      <c r="H1" s="75" t="s">
        <v>1</v>
      </c>
      <c r="I1" s="75"/>
      <c r="J1" s="26"/>
      <c r="K1" s="26"/>
      <c r="L1" s="75" t="s">
        <v>2</v>
      </c>
      <c r="M1" s="75"/>
      <c r="N1" s="75"/>
      <c r="O1" s="26"/>
      <c r="P1" s="75" t="s">
        <v>3</v>
      </c>
      <c r="Q1" s="75"/>
      <c r="R1" s="75"/>
      <c r="S1" s="26"/>
    </row>
    <row r="2" spans="1:19" ht="17.25" customHeight="1">
      <c r="A2" s="76">
        <f>E7+P2</f>
        <v>-3598.4830000000002</v>
      </c>
      <c r="B2" s="76"/>
      <c r="C2" s="76"/>
      <c r="D2" s="76"/>
      <c r="E2" s="76"/>
      <c r="F2" s="69"/>
      <c r="G2" s="27"/>
      <c r="H2" s="77">
        <f>SUM(I4:I16)*-1</f>
        <v>-6647.9630000000006</v>
      </c>
      <c r="I2" s="77"/>
      <c r="J2" s="27"/>
      <c r="K2" s="27"/>
      <c r="L2" s="78">
        <f>SUM(M5:M16)*-1</f>
        <v>-6938.15</v>
      </c>
      <c r="M2" s="78"/>
      <c r="N2" s="78"/>
      <c r="O2" s="28"/>
      <c r="P2" s="79">
        <f>SUM(H2:N2)</f>
        <v>-13586.113000000001</v>
      </c>
      <c r="Q2" s="79"/>
      <c r="R2" s="79"/>
      <c r="S2" s="27"/>
    </row>
    <row r="3" spans="1:19" ht="17.25" customHeight="1">
      <c r="A3" s="69"/>
      <c r="B3" s="69"/>
      <c r="C3" s="69"/>
      <c r="D3" s="69"/>
      <c r="E3" s="69"/>
      <c r="F3" s="69"/>
      <c r="G3" s="27"/>
      <c r="H3" s="70"/>
      <c r="I3" s="70"/>
      <c r="J3" s="29" t="s">
        <v>4</v>
      </c>
      <c r="K3" s="27"/>
      <c r="L3" s="71"/>
      <c r="M3" s="71"/>
      <c r="N3" s="71"/>
      <c r="O3" s="72"/>
      <c r="P3" s="72"/>
      <c r="Q3" s="72"/>
      <c r="R3" s="72"/>
      <c r="S3" s="27"/>
    </row>
    <row r="4" spans="1:19" ht="17.25" customHeight="1">
      <c r="A4" s="36"/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/>
      <c r="H4" s="60" t="s">
        <v>83</v>
      </c>
      <c r="I4" s="38">
        <v>2377.0500000000002</v>
      </c>
      <c r="J4" s="39" t="s">
        <v>56</v>
      </c>
      <c r="K4" s="36"/>
      <c r="L4" s="36" t="s">
        <v>12</v>
      </c>
      <c r="M4" s="36" t="s">
        <v>13</v>
      </c>
      <c r="N4" s="36" t="s">
        <v>14</v>
      </c>
      <c r="O4" s="36" t="s">
        <v>4</v>
      </c>
      <c r="P4" s="36"/>
      <c r="Q4" s="40" t="s">
        <v>15</v>
      </c>
      <c r="R4" s="41" t="s">
        <v>16</v>
      </c>
      <c r="S4" s="29"/>
    </row>
    <row r="5" spans="1:19" ht="17.25" customHeight="1">
      <c r="A5" s="42" t="s">
        <v>17</v>
      </c>
      <c r="B5" s="43">
        <v>4500</v>
      </c>
      <c r="C5" s="43">
        <f>B5-D5</f>
        <v>348.18000000000029</v>
      </c>
      <c r="D5" s="43">
        <v>4151.82</v>
      </c>
      <c r="E5" s="73"/>
      <c r="F5" s="44" t="str">
        <f>IF(A2&gt;0,A2/2,"R$ 0,00")</f>
        <v>R$ 0,00</v>
      </c>
      <c r="G5" s="39"/>
      <c r="H5" s="60" t="s">
        <v>84</v>
      </c>
      <c r="I5" s="38">
        <v>129.9</v>
      </c>
      <c r="J5" s="39" t="s">
        <v>56</v>
      </c>
      <c r="K5" s="39"/>
      <c r="L5" s="36">
        <v>1</v>
      </c>
      <c r="M5" s="45">
        <v>2548.6</v>
      </c>
      <c r="N5" s="57" t="s">
        <v>85</v>
      </c>
      <c r="O5" s="39" t="s">
        <v>56</v>
      </c>
      <c r="P5" s="47"/>
      <c r="Q5" s="48">
        <f>SUMIF(J:J,"ok",I:I)+SUMIF(O:O,"ok",M:M)</f>
        <v>13586.113000000001</v>
      </c>
      <c r="R5" s="49">
        <f>P2+Q5</f>
        <v>0</v>
      </c>
      <c r="S5" s="32"/>
    </row>
    <row r="6" spans="1:19" ht="17.25" customHeight="1">
      <c r="A6" s="42" t="s">
        <v>20</v>
      </c>
      <c r="B6" s="43">
        <v>6910.65</v>
      </c>
      <c r="C6" s="43">
        <f>B6-D6</f>
        <v>1074.8399999999992</v>
      </c>
      <c r="D6" s="43">
        <v>5835.81</v>
      </c>
      <c r="E6" s="73"/>
      <c r="F6" s="44" t="str">
        <f>IF(A2&gt;0,A2/2,"R$ 0,00")</f>
        <v>R$ 0,00</v>
      </c>
      <c r="G6" s="39"/>
      <c r="H6" s="60" t="s">
        <v>86</v>
      </c>
      <c r="I6" s="38">
        <v>154.65</v>
      </c>
      <c r="J6" s="39" t="s">
        <v>56</v>
      </c>
      <c r="K6" s="39"/>
      <c r="L6" s="36">
        <v>1</v>
      </c>
      <c r="M6" s="45">
        <f>905.66+51.85</f>
        <v>957.51</v>
      </c>
      <c r="N6" s="57" t="s">
        <v>87</v>
      </c>
      <c r="O6" s="39" t="s">
        <v>56</v>
      </c>
      <c r="P6" s="47"/>
      <c r="Q6" s="45"/>
      <c r="R6" s="46"/>
      <c r="S6" s="32"/>
    </row>
    <row r="7" spans="1:19" ht="17.25" customHeight="1">
      <c r="A7" s="42" t="s">
        <v>3</v>
      </c>
      <c r="B7" s="50"/>
      <c r="C7" s="50"/>
      <c r="D7" s="51"/>
      <c r="E7" s="43">
        <f>D5+D6+E5</f>
        <v>9987.630000000001</v>
      </c>
      <c r="F7" s="67"/>
      <c r="G7" s="39"/>
      <c r="H7" s="60" t="s">
        <v>25</v>
      </c>
      <c r="I7" s="38">
        <v>300</v>
      </c>
      <c r="J7" s="39" t="s">
        <v>56</v>
      </c>
      <c r="K7" s="39"/>
      <c r="L7" s="36">
        <v>22</v>
      </c>
      <c r="M7" s="45">
        <v>2166.67</v>
      </c>
      <c r="N7" s="57" t="s">
        <v>88</v>
      </c>
      <c r="O7" s="39" t="s">
        <v>56</v>
      </c>
      <c r="P7" s="47"/>
      <c r="Q7" s="45"/>
      <c r="R7" s="46"/>
      <c r="S7" s="32"/>
    </row>
    <row r="8" spans="1:19" ht="17.25" customHeight="1">
      <c r="A8" s="42"/>
      <c r="B8" s="50"/>
      <c r="C8" s="50"/>
      <c r="D8" s="50"/>
      <c r="E8" s="43"/>
      <c r="F8" s="52"/>
      <c r="G8" s="39"/>
      <c r="H8" s="60" t="s">
        <v>89</v>
      </c>
      <c r="I8" s="38">
        <v>114.9</v>
      </c>
      <c r="J8" s="39" t="s">
        <v>56</v>
      </c>
      <c r="K8" s="39"/>
      <c r="L8" s="36">
        <v>1</v>
      </c>
      <c r="M8" s="45">
        <v>970.64</v>
      </c>
      <c r="N8" s="57" t="s">
        <v>90</v>
      </c>
      <c r="O8" s="39" t="s">
        <v>56</v>
      </c>
      <c r="P8" s="47"/>
      <c r="Q8" s="45"/>
      <c r="R8" s="46"/>
      <c r="S8" s="32"/>
    </row>
    <row r="9" spans="1:19" ht="17.25" customHeight="1">
      <c r="A9" s="52"/>
      <c r="B9" s="50"/>
      <c r="C9" s="50"/>
      <c r="D9" s="50"/>
      <c r="E9" s="50"/>
      <c r="F9" s="52"/>
      <c r="G9" s="39"/>
      <c r="H9" s="60" t="s">
        <v>43</v>
      </c>
      <c r="I9" s="38">
        <v>686.65</v>
      </c>
      <c r="J9" s="39" t="s">
        <v>56</v>
      </c>
      <c r="K9" s="39"/>
      <c r="L9" s="36">
        <v>1</v>
      </c>
      <c r="M9" s="45">
        <v>294.73</v>
      </c>
      <c r="N9" s="57" t="s">
        <v>91</v>
      </c>
      <c r="O9" s="39" t="s">
        <v>56</v>
      </c>
      <c r="P9" s="47"/>
      <c r="Q9" s="45"/>
      <c r="R9" s="46"/>
      <c r="S9" s="32"/>
    </row>
    <row r="10" spans="1:19" ht="17.25" customHeight="1">
      <c r="A10" s="52"/>
      <c r="B10" s="52"/>
      <c r="C10" s="52"/>
      <c r="D10" s="52"/>
      <c r="E10" s="52"/>
      <c r="F10" s="52"/>
      <c r="G10" s="39"/>
      <c r="H10" s="60" t="s">
        <v>92</v>
      </c>
      <c r="I10" s="38">
        <v>69.63</v>
      </c>
      <c r="J10" s="39" t="s">
        <v>56</v>
      </c>
      <c r="K10" s="39"/>
      <c r="L10" s="36"/>
      <c r="M10" s="45"/>
      <c r="N10" s="57"/>
      <c r="O10" s="39"/>
      <c r="P10" s="47"/>
      <c r="Q10" s="45"/>
      <c r="R10" s="46"/>
      <c r="S10" s="32"/>
    </row>
    <row r="11" spans="1:19" ht="17.25" customHeight="1">
      <c r="A11" s="42"/>
      <c r="B11" s="52"/>
      <c r="C11" s="52"/>
      <c r="D11" s="52"/>
      <c r="E11" s="52"/>
      <c r="F11" s="52"/>
      <c r="G11" s="39"/>
      <c r="H11" s="60" t="s">
        <v>48</v>
      </c>
      <c r="I11" s="38">
        <v>59</v>
      </c>
      <c r="J11" s="39" t="s">
        <v>56</v>
      </c>
      <c r="K11" s="39"/>
      <c r="L11" s="36"/>
      <c r="M11" s="45"/>
      <c r="N11" s="57"/>
      <c r="O11" s="53"/>
      <c r="P11" s="47"/>
      <c r="Q11" s="45"/>
      <c r="R11" s="46"/>
      <c r="S11" s="32"/>
    </row>
    <row r="12" spans="1:19" ht="17.25" customHeight="1">
      <c r="A12" s="42"/>
      <c r="B12" s="52"/>
      <c r="C12" s="52"/>
      <c r="D12" s="52"/>
      <c r="E12" s="52"/>
      <c r="F12" s="52"/>
      <c r="G12" s="39"/>
      <c r="H12" s="60" t="s">
        <v>49</v>
      </c>
      <c r="I12" s="38">
        <f>SUM(D5:D6)*0.1</f>
        <v>998.76300000000015</v>
      </c>
      <c r="J12" s="39" t="s">
        <v>56</v>
      </c>
      <c r="K12" s="39"/>
      <c r="L12" s="36"/>
      <c r="M12" s="45"/>
      <c r="N12" s="57"/>
      <c r="O12" s="53"/>
      <c r="P12" s="47"/>
      <c r="Q12" s="45"/>
      <c r="R12" s="46"/>
      <c r="S12" s="32"/>
    </row>
    <row r="13" spans="1:19" ht="17.25" customHeight="1">
      <c r="A13" s="42"/>
      <c r="B13" s="52"/>
      <c r="C13" s="52"/>
      <c r="D13" s="52"/>
      <c r="E13" s="52"/>
      <c r="F13" s="52"/>
      <c r="G13" s="39"/>
      <c r="H13" s="60" t="s">
        <v>50</v>
      </c>
      <c r="I13" s="38">
        <v>300</v>
      </c>
      <c r="J13" s="39" t="s">
        <v>56</v>
      </c>
      <c r="K13" s="39"/>
      <c r="L13" s="36"/>
      <c r="M13" s="45"/>
      <c r="N13" s="58"/>
      <c r="O13" s="53"/>
      <c r="P13" s="47"/>
      <c r="Q13" s="45"/>
      <c r="R13" s="46"/>
      <c r="S13" s="32"/>
    </row>
    <row r="14" spans="1:19" ht="17.25" customHeight="1">
      <c r="A14" s="52"/>
      <c r="B14" s="52"/>
      <c r="C14" s="52"/>
      <c r="D14" s="52"/>
      <c r="E14" s="50"/>
      <c r="F14" s="52"/>
      <c r="G14" s="39"/>
      <c r="H14" s="60" t="s">
        <v>93</v>
      </c>
      <c r="I14" s="38">
        <v>1357.42</v>
      </c>
      <c r="J14" s="39" t="s">
        <v>56</v>
      </c>
      <c r="K14" s="39"/>
      <c r="L14" s="36"/>
      <c r="M14" s="45"/>
      <c r="N14" s="57"/>
      <c r="O14" s="47"/>
      <c r="P14" s="47"/>
      <c r="Q14" s="45"/>
      <c r="R14" s="46"/>
      <c r="S14" s="32"/>
    </row>
    <row r="15" spans="1:19" ht="17.25" customHeight="1">
      <c r="A15" s="52"/>
      <c r="B15" s="52"/>
      <c r="C15" s="52"/>
      <c r="D15" s="52"/>
      <c r="E15" s="50"/>
      <c r="F15" s="52"/>
      <c r="G15" s="39"/>
      <c r="H15" s="60" t="s">
        <v>27</v>
      </c>
      <c r="I15" s="38">
        <v>100</v>
      </c>
      <c r="J15" s="39" t="s">
        <v>56</v>
      </c>
      <c r="K15" s="39"/>
      <c r="L15" s="36"/>
      <c r="M15" s="45"/>
      <c r="N15" s="57"/>
      <c r="O15" s="47"/>
      <c r="P15" s="47"/>
      <c r="Q15" s="45"/>
      <c r="R15" s="46"/>
      <c r="S15" s="32"/>
    </row>
    <row r="16" spans="1:19" ht="17.25" customHeight="1">
      <c r="A16" s="52"/>
      <c r="B16" s="52"/>
      <c r="C16" s="52"/>
      <c r="D16" s="52"/>
      <c r="E16" s="50"/>
      <c r="F16" s="52"/>
      <c r="G16" s="39"/>
      <c r="H16" s="60"/>
      <c r="I16" s="43"/>
      <c r="J16" s="39"/>
      <c r="K16" s="39"/>
      <c r="L16" s="36"/>
      <c r="M16" s="45"/>
      <c r="N16" s="57"/>
      <c r="O16" s="47"/>
      <c r="P16" s="47"/>
      <c r="Q16" s="45"/>
      <c r="R16" s="46"/>
      <c r="S16" s="32"/>
    </row>
    <row r="17" spans="1:19" ht="17.25" customHeight="1">
      <c r="A17" s="74"/>
      <c r="B17" s="74"/>
      <c r="C17" s="74"/>
      <c r="D17" s="74"/>
      <c r="E17" s="50"/>
      <c r="F17" s="52"/>
      <c r="G17" s="39"/>
      <c r="H17" s="60"/>
      <c r="I17" s="43"/>
      <c r="J17" s="39"/>
      <c r="K17" s="39"/>
      <c r="L17" s="36"/>
      <c r="M17" s="56"/>
      <c r="N17" s="57"/>
      <c r="O17" s="56"/>
      <c r="P17" s="47"/>
      <c r="Q17" s="45"/>
      <c r="R17" s="46"/>
      <c r="S17" s="32"/>
    </row>
    <row r="18" spans="1:19" ht="17.25" customHeight="1">
      <c r="A18" s="36"/>
      <c r="B18" s="36"/>
      <c r="C18" s="36"/>
      <c r="D18" s="36"/>
      <c r="E18" s="50"/>
      <c r="F18" s="52"/>
      <c r="G18" s="39"/>
      <c r="H18" s="60"/>
      <c r="I18" s="38"/>
      <c r="J18" s="39"/>
      <c r="K18" s="39"/>
      <c r="L18" s="36"/>
      <c r="M18" s="36"/>
      <c r="N18" s="57"/>
      <c r="O18" s="36"/>
      <c r="P18" s="47"/>
      <c r="Q18" s="45"/>
      <c r="R18" s="46"/>
      <c r="S18" s="32"/>
    </row>
    <row r="19" spans="1:19" ht="17.25" customHeight="1">
      <c r="A19" s="36"/>
      <c r="B19" s="45"/>
      <c r="C19" s="46"/>
      <c r="D19" s="47"/>
      <c r="E19" s="50"/>
      <c r="F19" s="52"/>
      <c r="G19" s="39"/>
      <c r="H19" s="60"/>
      <c r="I19" s="38"/>
      <c r="J19" s="39"/>
      <c r="K19" s="39"/>
      <c r="L19" s="36"/>
      <c r="M19" s="45"/>
      <c r="N19" s="46"/>
      <c r="O19" s="47"/>
      <c r="P19" s="47"/>
      <c r="Q19" s="45"/>
      <c r="R19" s="46"/>
      <c r="S19" s="32"/>
    </row>
    <row r="20" spans="1:19" ht="17.25" customHeight="1">
      <c r="A20" s="36"/>
      <c r="B20" s="45"/>
      <c r="C20" s="46"/>
      <c r="D20" s="47"/>
      <c r="E20" s="50"/>
      <c r="F20" s="52"/>
      <c r="G20" s="39"/>
      <c r="H20" s="60"/>
      <c r="I20" s="38"/>
      <c r="J20" s="39"/>
      <c r="K20" s="39"/>
      <c r="L20" s="36"/>
      <c r="M20" s="45"/>
      <c r="N20" s="46"/>
      <c r="O20" s="47"/>
      <c r="P20" s="47"/>
      <c r="Q20" s="45"/>
      <c r="R20" s="46"/>
      <c r="S20" s="32"/>
    </row>
    <row r="21" spans="1:19" ht="17.25" customHeight="1">
      <c r="A21" s="36"/>
      <c r="B21" s="45"/>
      <c r="C21" s="46"/>
      <c r="D21" s="47"/>
      <c r="E21" s="50"/>
      <c r="F21" s="52"/>
      <c r="G21" s="39"/>
      <c r="H21" s="60"/>
      <c r="I21" s="38"/>
      <c r="J21" s="52"/>
      <c r="K21" s="39"/>
      <c r="L21" s="36"/>
      <c r="M21" s="45"/>
      <c r="N21" s="46"/>
      <c r="O21" s="47"/>
      <c r="P21" s="47"/>
      <c r="Q21" s="45"/>
      <c r="R21" s="46"/>
      <c r="S21" s="32"/>
    </row>
    <row r="22" spans="1:19" ht="17.25" customHeight="1">
      <c r="A22" s="36"/>
      <c r="B22" s="45"/>
      <c r="C22" s="46"/>
      <c r="D22" s="47"/>
      <c r="E22" s="52"/>
      <c r="F22" s="52"/>
      <c r="G22" s="39"/>
      <c r="H22" s="60"/>
      <c r="I22" s="38"/>
      <c r="J22" s="52"/>
      <c r="K22" s="39"/>
      <c r="L22" s="36" t="s">
        <v>3</v>
      </c>
      <c r="M22" s="49">
        <f>SUMPRODUCT(L5:L15,M5:M15)</f>
        <v>52438.220000000008</v>
      </c>
      <c r="N22" s="46"/>
      <c r="O22" s="47"/>
      <c r="P22" s="47"/>
      <c r="Q22" s="45"/>
      <c r="R22" s="46"/>
      <c r="S22" s="32"/>
    </row>
    <row r="23" spans="1:19" ht="17.25" customHeight="1">
      <c r="A23" s="36"/>
      <c r="B23" s="52"/>
      <c r="C23" s="52"/>
      <c r="D23" s="52"/>
      <c r="E23" s="52"/>
      <c r="F23" s="52"/>
      <c r="G23" s="39"/>
      <c r="H23" s="60"/>
      <c r="I23" s="38"/>
      <c r="J23" s="52"/>
      <c r="K23" s="39"/>
      <c r="L23" s="36"/>
      <c r="M23" s="55"/>
      <c r="N23" s="46"/>
      <c r="O23" s="47"/>
      <c r="P23" s="47"/>
      <c r="Q23" s="45"/>
      <c r="R23" s="46"/>
      <c r="S23" s="32"/>
    </row>
    <row r="24" spans="1:19" ht="17.25" customHeight="1">
      <c r="A24" s="36"/>
      <c r="B24" s="52"/>
      <c r="C24" s="52"/>
      <c r="D24" s="52"/>
      <c r="E24" s="52"/>
      <c r="F24" s="52"/>
      <c r="G24" s="39"/>
      <c r="H24" s="60"/>
      <c r="I24" s="38"/>
      <c r="J24" s="39"/>
      <c r="K24" s="39"/>
      <c r="L24" s="36"/>
      <c r="M24" s="45"/>
      <c r="N24" s="46"/>
      <c r="O24" s="54"/>
      <c r="P24" s="47"/>
      <c r="Q24" s="45"/>
      <c r="R24" s="46"/>
      <c r="S24" s="32"/>
    </row>
    <row r="25" spans="1:19" ht="17.25" customHeight="1">
      <c r="A25" s="36"/>
      <c r="B25" s="52"/>
      <c r="C25" s="52"/>
      <c r="D25" s="52"/>
      <c r="E25" s="52"/>
      <c r="F25" s="52"/>
      <c r="G25" s="39"/>
      <c r="H25" s="60"/>
      <c r="I25" s="38"/>
      <c r="J25" s="39"/>
      <c r="K25" s="39"/>
      <c r="L25" s="36"/>
      <c r="M25" s="45"/>
      <c r="N25" s="46"/>
      <c r="O25" s="47"/>
      <c r="P25" s="47"/>
      <c r="Q25" s="45"/>
      <c r="R25" s="46"/>
      <c r="S25" s="32"/>
    </row>
    <row r="26" spans="1:19" ht="17.25" customHeight="1">
      <c r="A26" s="36"/>
      <c r="B26" s="52"/>
      <c r="C26" s="52"/>
      <c r="D26" s="52"/>
      <c r="E26" s="52"/>
      <c r="F26" s="52"/>
      <c r="G26" s="39"/>
      <c r="H26" s="60"/>
      <c r="I26" s="38"/>
      <c r="J26" s="39"/>
      <c r="K26" s="39"/>
      <c r="L26" s="36"/>
      <c r="M26" s="45"/>
      <c r="N26" s="46"/>
      <c r="O26" s="54"/>
      <c r="P26" s="47"/>
      <c r="Q26" s="45"/>
      <c r="R26" s="46"/>
      <c r="S26" s="32"/>
    </row>
    <row r="27" spans="1:19" ht="17.25" customHeight="1">
      <c r="A27" s="67"/>
      <c r="B27" s="49"/>
      <c r="C27" s="52"/>
      <c r="D27" s="52"/>
      <c r="E27" s="52"/>
      <c r="F27" s="52"/>
      <c r="G27" s="39"/>
      <c r="H27" s="60"/>
      <c r="I27" s="38"/>
      <c r="J27" s="39"/>
      <c r="K27" s="39"/>
      <c r="L27" s="36"/>
      <c r="M27" s="45"/>
      <c r="N27" s="46"/>
      <c r="O27" s="47"/>
      <c r="P27" s="47"/>
      <c r="Q27" s="45"/>
      <c r="R27" s="46"/>
      <c r="S27" s="32"/>
    </row>
    <row r="28" spans="1:19" ht="17.25" customHeight="1">
      <c r="A28" s="67"/>
      <c r="B28" s="49"/>
      <c r="C28" s="52"/>
      <c r="D28" s="52"/>
      <c r="E28" s="52"/>
      <c r="F28" s="52"/>
      <c r="G28" s="39"/>
      <c r="H28" s="60"/>
      <c r="I28" s="38"/>
      <c r="J28" s="39"/>
      <c r="K28" s="39"/>
      <c r="L28" s="36"/>
      <c r="M28" s="45"/>
      <c r="N28" s="46"/>
      <c r="O28" s="47"/>
      <c r="P28" s="47"/>
      <c r="Q28" s="45"/>
      <c r="R28" s="46"/>
      <c r="S28" s="32"/>
    </row>
    <row r="29" spans="1:19" ht="17.25" customHeight="1">
      <c r="A29" s="39"/>
      <c r="B29" s="52"/>
      <c r="C29" s="39"/>
      <c r="D29" s="39"/>
      <c r="E29" s="39"/>
      <c r="F29" s="39"/>
      <c r="G29" s="39"/>
      <c r="H29" s="60"/>
      <c r="I29" s="38"/>
      <c r="J29" s="39"/>
      <c r="K29" s="39"/>
      <c r="L29" s="36"/>
      <c r="M29" s="45"/>
      <c r="N29" s="46"/>
      <c r="O29" s="47"/>
      <c r="P29" s="47"/>
      <c r="Q29" s="45"/>
      <c r="R29" s="46"/>
      <c r="S29" s="32"/>
    </row>
    <row r="30" spans="1:19" ht="17.25" customHeight="1">
      <c r="A30" s="36"/>
      <c r="B30" s="45"/>
      <c r="C30" s="57"/>
      <c r="D30" s="39"/>
      <c r="E30" s="39"/>
      <c r="F30" s="39"/>
      <c r="G30" s="39"/>
      <c r="H30" s="60"/>
      <c r="I30" s="38"/>
      <c r="J30" s="39"/>
      <c r="K30" s="39"/>
      <c r="L30" s="36"/>
      <c r="M30" s="45"/>
      <c r="N30" s="46"/>
      <c r="O30" s="47"/>
      <c r="P30" s="47"/>
      <c r="Q30" s="45"/>
      <c r="R30" s="46"/>
      <c r="S30" s="32"/>
    </row>
    <row r="31" spans="1:19" ht="17.25" customHeight="1">
      <c r="A31" s="32"/>
      <c r="B31" s="24"/>
      <c r="C31" s="32"/>
      <c r="D31" s="32"/>
      <c r="E31" s="32"/>
      <c r="F31" s="32"/>
      <c r="G31" s="32"/>
      <c r="H31" s="61"/>
      <c r="I31" s="31"/>
      <c r="J31" s="32"/>
      <c r="K31" s="32"/>
      <c r="L31" s="29"/>
      <c r="M31" s="33"/>
      <c r="N31" s="34"/>
      <c r="O31" s="35"/>
      <c r="P31" s="35"/>
      <c r="Q31" s="33"/>
      <c r="R31" s="34"/>
      <c r="S31" s="32"/>
    </row>
    <row r="32" spans="1:19" ht="17.25" customHeight="1">
      <c r="A32" s="32"/>
      <c r="B32" s="24"/>
      <c r="C32" s="32"/>
      <c r="D32" s="32"/>
      <c r="E32" s="32"/>
      <c r="F32" s="32"/>
      <c r="G32" s="32"/>
      <c r="H32" s="61"/>
      <c r="I32" s="31"/>
      <c r="J32" s="32"/>
      <c r="K32" s="32"/>
      <c r="L32" s="35"/>
      <c r="M32" s="33"/>
      <c r="N32" s="34"/>
      <c r="O32" s="35"/>
      <c r="P32" s="35"/>
      <c r="Q32" s="33"/>
      <c r="R32" s="34"/>
      <c r="S32" s="32"/>
    </row>
    <row r="33" spans="1:19" ht="17.25" customHeight="1">
      <c r="A33" s="32"/>
      <c r="B33" s="24"/>
      <c r="C33" s="32"/>
      <c r="D33" s="32"/>
      <c r="E33" s="32"/>
      <c r="F33" s="32"/>
      <c r="G33" s="32"/>
      <c r="H33" s="61"/>
      <c r="I33" s="31"/>
      <c r="J33" s="32"/>
      <c r="K33" s="32"/>
      <c r="L33" s="35"/>
      <c r="M33" s="33"/>
      <c r="N33" s="34"/>
      <c r="O33" s="35"/>
      <c r="P33" s="35"/>
      <c r="Q33" s="33"/>
      <c r="R33" s="34"/>
      <c r="S33" s="32"/>
    </row>
    <row r="34" spans="1:19" ht="17.25" customHeight="1">
      <c r="A34" s="32"/>
      <c r="B34" s="24"/>
      <c r="C34" s="32"/>
      <c r="D34" s="32"/>
      <c r="E34" s="32"/>
      <c r="F34" s="32"/>
      <c r="G34" s="32"/>
      <c r="H34" s="61"/>
      <c r="I34" s="31"/>
      <c r="J34" s="32"/>
      <c r="K34" s="32"/>
      <c r="L34" s="35"/>
      <c r="M34" s="33"/>
      <c r="N34" s="34"/>
      <c r="O34" s="35"/>
      <c r="P34" s="35"/>
      <c r="Q34" s="33"/>
      <c r="R34" s="34"/>
      <c r="S34" s="32"/>
    </row>
    <row r="35" spans="1:19" ht="17.25" customHeight="1">
      <c r="A35" s="32"/>
      <c r="B35" s="24"/>
      <c r="C35" s="32"/>
      <c r="D35" s="32"/>
      <c r="E35" s="32"/>
      <c r="F35" s="32"/>
      <c r="G35" s="32"/>
      <c r="H35" s="61"/>
      <c r="I35" s="31"/>
      <c r="J35" s="32"/>
      <c r="K35" s="32"/>
      <c r="L35" s="35"/>
      <c r="M35" s="33"/>
      <c r="N35" s="34"/>
      <c r="O35" s="35"/>
      <c r="P35" s="35"/>
      <c r="Q35" s="33"/>
      <c r="R35" s="34"/>
      <c r="S35" s="32"/>
    </row>
    <row r="36" spans="1:19" ht="17.25" customHeight="1">
      <c r="A36" s="32"/>
      <c r="B36" s="24"/>
      <c r="C36" s="32"/>
      <c r="D36" s="32"/>
      <c r="E36" s="32"/>
      <c r="F36" s="32"/>
      <c r="G36" s="32"/>
      <c r="H36" s="61"/>
      <c r="I36" s="31"/>
      <c r="J36" s="32"/>
      <c r="K36" s="32"/>
      <c r="L36" s="35"/>
      <c r="M36" s="33"/>
      <c r="N36" s="34"/>
      <c r="O36" s="35"/>
      <c r="P36" s="35"/>
      <c r="Q36" s="33"/>
      <c r="R36" s="34"/>
      <c r="S36" s="32"/>
    </row>
    <row r="37" spans="1:19" ht="17.25" customHeight="1">
      <c r="A37" s="32"/>
      <c r="B37" s="24"/>
      <c r="C37" s="32"/>
      <c r="D37" s="32"/>
      <c r="E37" s="32"/>
      <c r="F37" s="32"/>
      <c r="G37" s="32"/>
      <c r="H37" s="61"/>
      <c r="I37" s="31"/>
      <c r="J37" s="32"/>
      <c r="K37" s="32"/>
      <c r="L37" s="35"/>
      <c r="M37" s="33"/>
      <c r="N37" s="34"/>
      <c r="O37" s="35"/>
      <c r="P37" s="35"/>
      <c r="Q37" s="33"/>
      <c r="R37" s="34"/>
      <c r="S37" s="32"/>
    </row>
    <row r="38" spans="1:19" ht="17.25" customHeight="1">
      <c r="A38" s="32"/>
      <c r="B38" s="24"/>
      <c r="C38" s="32"/>
      <c r="D38" s="32"/>
      <c r="E38" s="32"/>
      <c r="F38" s="32"/>
      <c r="G38" s="32"/>
      <c r="H38" s="30"/>
      <c r="I38" s="31"/>
      <c r="J38" s="32"/>
      <c r="K38" s="32"/>
      <c r="L38" s="35"/>
      <c r="M38" s="33"/>
      <c r="N38" s="34"/>
      <c r="O38" s="35"/>
      <c r="P38" s="35"/>
      <c r="Q38" s="33"/>
      <c r="R38" s="34"/>
      <c r="S38" s="32"/>
    </row>
    <row r="39" spans="1:19" ht="17.25" customHeight="1">
      <c r="A39" s="32"/>
      <c r="B39" s="24"/>
      <c r="C39" s="32"/>
      <c r="D39" s="32"/>
      <c r="E39" s="32"/>
      <c r="F39" s="32"/>
      <c r="G39" s="32"/>
      <c r="H39" s="30"/>
      <c r="I39" s="31"/>
      <c r="J39" s="32"/>
      <c r="K39" s="32"/>
      <c r="L39" s="35"/>
      <c r="M39" s="33"/>
      <c r="N39" s="34"/>
      <c r="O39" s="35"/>
      <c r="P39" s="35"/>
      <c r="Q39" s="33"/>
      <c r="R39" s="34"/>
      <c r="S39" s="32"/>
    </row>
    <row r="40" spans="1:19" ht="17.25" customHeight="1">
      <c r="A40" s="32"/>
      <c r="B40" s="24"/>
      <c r="C40" s="32"/>
      <c r="D40" s="32"/>
      <c r="E40" s="32"/>
      <c r="F40" s="32"/>
      <c r="G40" s="32"/>
      <c r="H40" s="30"/>
      <c r="I40" s="31"/>
      <c r="J40" s="32"/>
      <c r="K40" s="32"/>
      <c r="L40" s="35"/>
      <c r="M40" s="33"/>
      <c r="N40" s="34"/>
      <c r="O40" s="35"/>
      <c r="P40" s="35"/>
      <c r="Q40" s="33"/>
      <c r="R40" s="34"/>
      <c r="S40" s="32"/>
    </row>
    <row r="41" spans="1:19" ht="17.25" customHeight="1">
      <c r="A41" s="32"/>
      <c r="B41" s="24"/>
      <c r="C41" s="32"/>
      <c r="D41" s="32"/>
      <c r="E41" s="32"/>
      <c r="F41" s="32"/>
      <c r="G41" s="32"/>
      <c r="H41" s="30"/>
      <c r="I41" s="31"/>
      <c r="J41" s="32"/>
      <c r="K41" s="32"/>
      <c r="L41" s="35"/>
      <c r="M41" s="33"/>
      <c r="N41" s="34"/>
      <c r="O41" s="35"/>
      <c r="P41" s="35"/>
      <c r="Q41" s="33"/>
      <c r="R41" s="34"/>
      <c r="S41" s="32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Batista Da Silva</dc:creator>
  <cp:keywords/>
  <dc:description/>
  <cp:lastModifiedBy/>
  <cp:revision/>
  <dcterms:created xsi:type="dcterms:W3CDTF">2020-11-30T23:06:59Z</dcterms:created>
  <dcterms:modified xsi:type="dcterms:W3CDTF">2026-10-22T12:50:00Z</dcterms:modified>
  <cp:category/>
  <cp:contentStatus/>
</cp:coreProperties>
</file>