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briur\OneDrive\Documentos\"/>
    </mc:Choice>
  </mc:AlternateContent>
  <xr:revisionPtr revIDLastSave="0" documentId="8_{ABBA1978-E43D-4991-AD90-83EAF7C1BB80}" xr6:coauthVersionLast="47" xr6:coauthVersionMax="47" xr10:uidLastSave="{00000000-0000-0000-0000-000000000000}"/>
  <bookViews>
    <workbookView xWindow="-120" yWindow="-120" windowWidth="29040" windowHeight="15990" firstSheet="10" activeTab="10" xr2:uid="{00000000-000D-0000-FFFF-FFFF00000000}"/>
  </bookViews>
  <sheets>
    <sheet name="Janeiro" sheetId="62" r:id="rId1"/>
    <sheet name="Fevereiro" sheetId="63" r:id="rId2"/>
    <sheet name="Março" sheetId="64" r:id="rId3"/>
    <sheet name="Abril" sheetId="65" r:id="rId4"/>
    <sheet name="Maio" sheetId="67" r:id="rId5"/>
    <sheet name="Junho" sheetId="68" r:id="rId6"/>
    <sheet name="Julho" sheetId="69" r:id="rId7"/>
    <sheet name="Agosto" sheetId="70" r:id="rId8"/>
    <sheet name="Setembro" sheetId="74" r:id="rId9"/>
    <sheet name="Outubro" sheetId="73" r:id="rId10"/>
    <sheet name="Novembro" sheetId="72" r:id="rId11"/>
    <sheet name="Dezembro" sheetId="7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73" l="1"/>
  <c r="M7" i="73"/>
  <c r="M9" i="73"/>
  <c r="E5" i="73"/>
  <c r="I11" i="74"/>
  <c r="H2" i="74"/>
  <c r="M6" i="72"/>
  <c r="M7" i="74"/>
  <c r="L2" i="74"/>
  <c r="P2" i="74"/>
  <c r="I12" i="70"/>
  <c r="M7" i="70"/>
  <c r="M6" i="70"/>
  <c r="C6" i="72"/>
  <c r="E5" i="71"/>
  <c r="M5" i="70"/>
  <c r="E7" i="70"/>
  <c r="E5" i="69"/>
  <c r="M8" i="71"/>
  <c r="M8" i="72"/>
  <c r="M6" i="69"/>
  <c r="E5" i="74"/>
  <c r="E5" i="68"/>
  <c r="E5" i="67"/>
  <c r="E5" i="72"/>
  <c r="I12" i="67"/>
  <c r="E7" i="74"/>
  <c r="M22" i="74"/>
  <c r="C6" i="74"/>
  <c r="Q5" i="74"/>
  <c r="C5" i="74"/>
  <c r="R5" i="74"/>
  <c r="A2" i="74"/>
  <c r="I11" i="73"/>
  <c r="E7" i="73"/>
  <c r="M22" i="73"/>
  <c r="C6" i="73"/>
  <c r="Q5" i="73"/>
  <c r="C5" i="73"/>
  <c r="L2" i="73"/>
  <c r="H2" i="73"/>
  <c r="P2" i="73"/>
  <c r="R5" i="73"/>
  <c r="A2" i="73"/>
  <c r="I12" i="72"/>
  <c r="E7" i="72"/>
  <c r="M22" i="72"/>
  <c r="Q5" i="72"/>
  <c r="C5" i="72"/>
  <c r="L2" i="72"/>
  <c r="H2" i="72"/>
  <c r="P2" i="72"/>
  <c r="R5" i="72"/>
  <c r="A2" i="72"/>
  <c r="I12" i="71"/>
  <c r="E7" i="71"/>
  <c r="M22" i="71"/>
  <c r="C6" i="71"/>
  <c r="Q5" i="71"/>
  <c r="C5" i="71"/>
  <c r="L2" i="71"/>
  <c r="H2" i="71"/>
  <c r="P2" i="71"/>
  <c r="R5" i="71"/>
  <c r="A2" i="71"/>
  <c r="M22" i="70"/>
  <c r="C6" i="70"/>
  <c r="Q5" i="70"/>
  <c r="C5" i="70"/>
  <c r="L2" i="70"/>
  <c r="H2" i="70"/>
  <c r="P2" i="70"/>
  <c r="R5" i="70"/>
  <c r="A2" i="70"/>
  <c r="E7" i="69"/>
  <c r="M22" i="69"/>
  <c r="C6" i="69"/>
  <c r="Q5" i="69"/>
  <c r="C5" i="69"/>
  <c r="L2" i="69"/>
  <c r="H2" i="69"/>
  <c r="P2" i="69"/>
  <c r="R5" i="69"/>
  <c r="A2" i="69"/>
  <c r="E7" i="68"/>
  <c r="M22" i="68"/>
  <c r="C6" i="68"/>
  <c r="Q5" i="68"/>
  <c r="C5" i="68"/>
  <c r="L2" i="68"/>
  <c r="H2" i="68"/>
  <c r="P2" i="68"/>
  <c r="R5" i="68"/>
  <c r="A2" i="68"/>
  <c r="M22" i="67"/>
  <c r="E7" i="67"/>
  <c r="H2" i="67"/>
  <c r="L2" i="67"/>
  <c r="P2" i="67"/>
  <c r="C5" i="67"/>
  <c r="Q5" i="67"/>
  <c r="R5" i="67"/>
  <c r="C6" i="67"/>
  <c r="M6" i="65"/>
  <c r="I12" i="64"/>
  <c r="E5" i="64"/>
  <c r="M6" i="64"/>
  <c r="E7" i="64"/>
  <c r="L2" i="63"/>
  <c r="F5" i="62"/>
  <c r="E7" i="62"/>
  <c r="C6" i="62"/>
  <c r="L2" i="62"/>
  <c r="E5" i="63"/>
  <c r="E7" i="63"/>
  <c r="I12" i="63"/>
  <c r="H2" i="63"/>
  <c r="P2" i="63"/>
  <c r="A2" i="63"/>
  <c r="H2" i="64"/>
  <c r="L2" i="64"/>
  <c r="P2" i="64"/>
  <c r="E7" i="65"/>
  <c r="I12" i="65"/>
  <c r="H2" i="65"/>
  <c r="L2" i="65"/>
  <c r="P2" i="65"/>
  <c r="P2" i="62"/>
  <c r="M22" i="65"/>
  <c r="C6" i="65"/>
  <c r="Q5" i="65"/>
  <c r="C5" i="65"/>
  <c r="R5" i="65"/>
  <c r="A2" i="65"/>
  <c r="E5" i="62"/>
  <c r="I12" i="62"/>
  <c r="M22" i="64"/>
  <c r="C6" i="64"/>
  <c r="Q5" i="64"/>
  <c r="C5" i="64"/>
  <c r="R5" i="64"/>
  <c r="M22" i="63"/>
  <c r="C6" i="63"/>
  <c r="Q5" i="63"/>
  <c r="C5" i="63"/>
  <c r="R5" i="63"/>
  <c r="M22" i="62"/>
  <c r="Q5" i="62"/>
  <c r="C5" i="62"/>
  <c r="H2" i="62"/>
  <c r="R5" i="62"/>
  <c r="A2" i="62"/>
  <c r="F6" i="62"/>
  <c r="F6" i="63"/>
  <c r="F5" i="63"/>
  <c r="A2" i="64"/>
  <c r="F6" i="65"/>
  <c r="F5" i="65"/>
  <c r="F6" i="64"/>
  <c r="F5" i="64"/>
  <c r="A2" i="67"/>
  <c r="F6" i="74"/>
  <c r="F5" i="74"/>
  <c r="F6" i="73"/>
  <c r="F5" i="73"/>
  <c r="F6" i="72"/>
  <c r="F5" i="72"/>
  <c r="F6" i="71"/>
  <c r="F5" i="71"/>
  <c r="F6" i="70"/>
  <c r="F5" i="70"/>
  <c r="F6" i="69"/>
  <c r="F5" i="69"/>
  <c r="F6" i="68"/>
  <c r="F5" i="68"/>
  <c r="F5" i="67"/>
  <c r="F6" i="67"/>
</calcChain>
</file>

<file path=xl/sharedStrings.xml><?xml version="1.0" encoding="utf-8"?>
<sst xmlns="http://schemas.openxmlformats.org/spreadsheetml/2006/main" count="651" uniqueCount="55">
  <si>
    <t>Balanço</t>
  </si>
  <si>
    <t>Gastos fixos</t>
  </si>
  <si>
    <t>Dívidas</t>
  </si>
  <si>
    <t>Total</t>
  </si>
  <si>
    <t>Pagos</t>
  </si>
  <si>
    <t>Bruto</t>
  </si>
  <si>
    <t>Descontos</t>
  </si>
  <si>
    <t>Líquido</t>
  </si>
  <si>
    <t>Outras entradas</t>
  </si>
  <si>
    <t>Sobra pro bailão</t>
  </si>
  <si>
    <t>Apartamento - 10</t>
  </si>
  <si>
    <t>OK</t>
  </si>
  <si>
    <t>Parcelas</t>
  </si>
  <si>
    <t>Valor</t>
  </si>
  <si>
    <t>Instituição</t>
  </si>
  <si>
    <t>Total Pagos</t>
  </si>
  <si>
    <t>Falta Pagar</t>
  </si>
  <si>
    <t>Gabriel</t>
  </si>
  <si>
    <t>Internet - 16</t>
  </si>
  <si>
    <t>Nubank - 01</t>
  </si>
  <si>
    <t>Ok</t>
  </si>
  <si>
    <t>Gabriela</t>
  </si>
  <si>
    <t>Luz - 24</t>
  </si>
  <si>
    <t>Bradesco - 05</t>
  </si>
  <si>
    <t>Mercado</t>
  </si>
  <si>
    <t>Móveis - 08</t>
  </si>
  <si>
    <t>Claro - 15</t>
  </si>
  <si>
    <t>Condomínio</t>
  </si>
  <si>
    <t>Mercado Livre - 05</t>
  </si>
  <si>
    <t>Gás - 10</t>
  </si>
  <si>
    <t>IPVA</t>
  </si>
  <si>
    <t>Vivo - 01</t>
  </si>
  <si>
    <t>Dízimo - 31</t>
  </si>
  <si>
    <t>Gasolina</t>
  </si>
  <si>
    <t>Carro - 16</t>
  </si>
  <si>
    <t>Zed</t>
  </si>
  <si>
    <t>Internet - 10</t>
  </si>
  <si>
    <t>Nubank</t>
  </si>
  <si>
    <t xml:space="preserve">Bradesco </t>
  </si>
  <si>
    <t>Móveis</t>
  </si>
  <si>
    <t>Mercado Livre</t>
  </si>
  <si>
    <t xml:space="preserve">Outros </t>
  </si>
  <si>
    <t>ok</t>
  </si>
  <si>
    <t>Bradesco (tec gas, marcio, piso, seguro)</t>
  </si>
  <si>
    <t>Nubank Gabriel</t>
  </si>
  <si>
    <t>IPTU</t>
  </si>
  <si>
    <t>Bradesco</t>
  </si>
  <si>
    <t>Resto</t>
  </si>
  <si>
    <t>Mês anterior</t>
  </si>
  <si>
    <t>1 décimo Gabriel</t>
  </si>
  <si>
    <t>Casamento</t>
  </si>
  <si>
    <t>Claro (serasa hehe)</t>
  </si>
  <si>
    <t xml:space="preserve">Nubank </t>
  </si>
  <si>
    <t>2 décimo Gabriel</t>
  </si>
  <si>
    <t>2 décimo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</si>
</sst>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 Light"/>
      <scheme val="major"/>
    </font>
    <font>
      <sz val="11"/>
      <color theme="1"/>
      <name val="Calibri Light"/>
      <scheme val="major"/>
    </font>
    <font>
      <b/>
      <sz val="13"/>
      <color theme="0"/>
      <name val="Calibri Light"/>
      <scheme val="major"/>
    </font>
    <font>
      <b/>
      <sz val="13"/>
      <color rgb="FF92D050"/>
      <name val="Calibri Light"/>
      <scheme val="major"/>
    </font>
    <font>
      <b/>
      <sz val="13"/>
      <color rgb="FFFFC000"/>
      <name val="Calibri Light"/>
      <scheme val="major"/>
    </font>
    <font>
      <b/>
      <sz val="13"/>
      <color theme="5" tint="0.39997558519241921"/>
      <name val="Calibri Light"/>
      <scheme val="major"/>
    </font>
    <font>
      <b/>
      <sz val="13"/>
      <color rgb="FFFF6969"/>
      <name val="Calibri Light"/>
      <scheme val="major"/>
    </font>
    <font>
      <b/>
      <sz val="11"/>
      <color theme="0"/>
      <name val="Calibri Light"/>
      <scheme val="major"/>
    </font>
    <font>
      <sz val="11"/>
      <color rgb="FFC7C7C7"/>
      <name val="Calibri Light"/>
      <scheme val="major"/>
    </font>
    <font>
      <b/>
      <sz val="12"/>
      <color theme="0"/>
      <name val="Calibri Light"/>
      <scheme val="major"/>
    </font>
    <font>
      <sz val="12"/>
      <color rgb="FFC7C7C7"/>
      <name val="Calibri Light"/>
      <scheme val="major"/>
    </font>
    <font>
      <sz val="12"/>
      <color theme="0"/>
      <name val="Calibri Light"/>
      <scheme val="major"/>
    </font>
    <font>
      <sz val="12"/>
      <color rgb="FF92D050"/>
      <name val="Calibri Light"/>
      <scheme val="major"/>
    </font>
    <font>
      <sz val="12"/>
      <color rgb="FFFF6969"/>
      <name val="Calibri Light"/>
      <scheme val="major"/>
    </font>
    <font>
      <b/>
      <sz val="12"/>
      <color rgb="FFC7C7C7"/>
      <name val="Calibri Light"/>
      <scheme val="major"/>
    </font>
    <font>
      <sz val="12"/>
      <color rgb="FFF25272"/>
      <name val="Calibri Light"/>
      <scheme val="major"/>
    </font>
    <font>
      <b/>
      <sz val="12"/>
      <color rgb="FFFFFFFF"/>
      <name val="Calibri Light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29333F"/>
        <bgColor indexed="64"/>
      </patternFill>
    </fill>
    <fill>
      <patternFill patternType="solid">
        <fgColor rgb="FF29333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164" fontId="2" fillId="3" borderId="0" xfId="0" applyNumberFormat="1" applyFont="1" applyFill="1"/>
    <xf numFmtId="0" fontId="3" fillId="0" borderId="0" xfId="0" applyFont="1"/>
    <xf numFmtId="0" fontId="4" fillId="2" borderId="0" xfId="0" applyFont="1" applyFill="1" applyAlignment="1">
      <alignment vertical="center"/>
    </xf>
    <xf numFmtId="0" fontId="3" fillId="3" borderId="0" xfId="0" applyFont="1" applyFill="1"/>
    <xf numFmtId="164" fontId="8" fillId="3" borderId="0" xfId="1" applyNumberFormat="1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/>
    <xf numFmtId="164" fontId="10" fillId="3" borderId="0" xfId="1" applyNumberFormat="1" applyFont="1" applyFill="1" applyAlignment="1">
      <alignment horizontal="left" vertical="center"/>
    </xf>
    <xf numFmtId="0" fontId="2" fillId="3" borderId="0" xfId="0" applyFont="1" applyFill="1"/>
    <xf numFmtId="164" fontId="10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4" fontId="12" fillId="3" borderId="0" xfId="1" applyNumberFormat="1" applyFont="1" applyFill="1" applyAlignment="1">
      <alignment horizontal="left" vertical="center"/>
    </xf>
    <xf numFmtId="0" fontId="13" fillId="3" borderId="0" xfId="0" applyFont="1" applyFill="1"/>
    <xf numFmtId="164" fontId="11" fillId="3" borderId="0" xfId="0" applyNumberFormat="1" applyFont="1" applyFill="1" applyAlignment="1">
      <alignment horizontal="center"/>
    </xf>
    <xf numFmtId="44" fontId="11" fillId="3" borderId="0" xfId="1" applyFont="1" applyFill="1" applyAlignment="1">
      <alignment horizontal="center"/>
    </xf>
    <xf numFmtId="164" fontId="11" fillId="3" borderId="0" xfId="0" applyNumberFormat="1" applyFont="1" applyFill="1" applyAlignment="1">
      <alignment horizontal="left"/>
    </xf>
    <xf numFmtId="164" fontId="12" fillId="3" borderId="0" xfId="0" applyNumberFormat="1" applyFont="1" applyFill="1" applyAlignment="1">
      <alignment horizontal="left"/>
    </xf>
    <xf numFmtId="44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/>
    </xf>
    <xf numFmtId="164" fontId="15" fillId="3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left"/>
    </xf>
    <xf numFmtId="164" fontId="11" fillId="3" borderId="0" xfId="0" applyNumberFormat="1" applyFont="1" applyFill="1" applyAlignment="1">
      <alignment horizontal="left" vertical="center"/>
    </xf>
    <xf numFmtId="164" fontId="13" fillId="3" borderId="0" xfId="0" applyNumberFormat="1" applyFont="1" applyFill="1"/>
    <xf numFmtId="0" fontId="13" fillId="3" borderId="0" xfId="0" applyFont="1" applyFill="1" applyAlignment="1">
      <alignment horizontal="left" vertical="center"/>
    </xf>
    <xf numFmtId="164" fontId="13" fillId="3" borderId="0" xfId="0" applyNumberFormat="1" applyFont="1" applyFill="1" applyAlignment="1">
      <alignment horizontal="center" vertical="center"/>
    </xf>
    <xf numFmtId="164" fontId="17" fillId="3" borderId="0" xfId="0" applyNumberFormat="1" applyFont="1" applyFill="1" applyAlignment="1">
      <alignment horizontal="center"/>
    </xf>
    <xf numFmtId="164" fontId="16" fillId="3" borderId="0" xfId="0" applyNumberFormat="1" applyFont="1" applyFill="1" applyAlignment="1">
      <alignment vertical="center"/>
    </xf>
    <xf numFmtId="0" fontId="12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18" fillId="4" borderId="0" xfId="0" applyFont="1" applyFill="1" applyBorder="1" applyAlignment="1">
      <alignment wrapText="1"/>
    </xf>
    <xf numFmtId="0" fontId="12" fillId="3" borderId="0" xfId="0" applyFont="1" applyFill="1" applyAlignment="1">
      <alignment horizontal="left" wrapText="1"/>
    </xf>
    <xf numFmtId="0" fontId="18" fillId="4" borderId="0" xfId="0" applyFont="1" applyFill="1" applyAlignment="1">
      <alignment wrapText="1"/>
    </xf>
    <xf numFmtId="164" fontId="1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64" fontId="5" fillId="3" borderId="0" xfId="1" applyNumberFormat="1" applyFont="1" applyFill="1" applyAlignment="1">
      <alignment horizontal="center" vertical="center"/>
    </xf>
    <xf numFmtId="164" fontId="6" fillId="3" borderId="0" xfId="1" applyNumberFormat="1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4" fontId="8" fillId="3" borderId="0" xfId="1" applyNumberFormat="1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5" fillId="3" borderId="0" xfId="1" applyNumberFormat="1" applyFont="1" applyFill="1" applyAlignment="1">
      <alignment horizontal="center" vertical="center"/>
    </xf>
    <xf numFmtId="164" fontId="6" fillId="3" borderId="0" xfId="1" applyNumberFormat="1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4" fontId="8" fillId="3" borderId="0" xfId="1" applyNumberFormat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12"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</dxfs>
  <tableStyles count="0" defaultTableStyle="TableStyleMedium2" defaultPivotStyle="PivotStyleLight16"/>
  <colors>
    <mruColors>
      <color rgb="FFF25272"/>
      <color rgb="FFF25260"/>
      <color rgb="FFFFF2F3"/>
      <color rgb="FFF2FFF7"/>
      <color rgb="FF5C5C5C"/>
      <color rgb="FFFFEBEC"/>
      <color rgb="FFFCF2F5"/>
      <color rgb="FFED3E67"/>
      <color rgb="FFE6D1D6"/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FC16-F549-4D9E-8778-52082A91130B}">
  <dimension ref="A1:S41"/>
  <sheetViews>
    <sheetView showGridLines="0" zoomScaleNormal="100" workbookViewId="0">
      <selection activeCell="P2" sqref="P2:R2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26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-2755.9420000000009</v>
      </c>
      <c r="B2" s="50"/>
      <c r="C2" s="50"/>
      <c r="D2" s="50"/>
      <c r="E2" s="50"/>
      <c r="F2" s="42"/>
      <c r="G2" s="4"/>
      <c r="H2" s="51">
        <f>SUM(I4:I16)*-1</f>
        <v>-6646.3120000000008</v>
      </c>
      <c r="I2" s="51"/>
      <c r="J2" s="4"/>
      <c r="K2" s="4"/>
      <c r="L2" s="52">
        <f>SUM(M5:M16)*-1</f>
        <v>-7957.0500000000011</v>
      </c>
      <c r="M2" s="52"/>
      <c r="N2" s="52"/>
      <c r="O2" s="5"/>
      <c r="P2" s="53">
        <f>SUM(H2:N2)</f>
        <v>-14603.362000000001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6" t="s">
        <v>10</v>
      </c>
      <c r="I4" s="14">
        <v>2161.5500000000002</v>
      </c>
      <c r="J4" s="15" t="s">
        <v>11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274</v>
      </c>
      <c r="D5" s="19">
        <v>4226</v>
      </c>
      <c r="E5" s="47">
        <f>1500</f>
        <v>1500</v>
      </c>
      <c r="F5" s="20" t="str">
        <f>IF(A2&gt;0,A2/2,"R$ 0,00")</f>
        <v>R$ 0,00</v>
      </c>
      <c r="G5" s="15"/>
      <c r="H5" s="36" t="s">
        <v>18</v>
      </c>
      <c r="I5" s="14">
        <v>129.9</v>
      </c>
      <c r="J5" s="15" t="s">
        <v>11</v>
      </c>
      <c r="K5" s="15"/>
      <c r="L5" s="13">
        <v>1</v>
      </c>
      <c r="M5" s="21">
        <v>2109.3200000000002</v>
      </c>
      <c r="N5" s="33" t="s">
        <v>19</v>
      </c>
      <c r="O5" s="15" t="s">
        <v>20</v>
      </c>
      <c r="P5" s="23"/>
      <c r="Q5" s="24">
        <f>SUMIF(J:J,"ok",I:I)+SUMIF(O:O,"ok",M:M)</f>
        <v>13053.720000000001</v>
      </c>
      <c r="R5" s="25">
        <f>P2+Q5</f>
        <v>-1549.6419999999998</v>
      </c>
      <c r="S5" s="9"/>
    </row>
    <row r="6" spans="1:19" ht="17.25" customHeight="1">
      <c r="A6" s="18" t="s">
        <v>21</v>
      </c>
      <c r="B6" s="19">
        <v>7547.89</v>
      </c>
      <c r="C6" s="19">
        <f>B6-D6</f>
        <v>1426.4700000000003</v>
      </c>
      <c r="D6" s="19">
        <v>6121.42</v>
      </c>
      <c r="E6" s="47"/>
      <c r="F6" s="20" t="str">
        <f>IF(A2&gt;0,A2/2,"R$ 0,00")</f>
        <v>R$ 0,00</v>
      </c>
      <c r="G6" s="15"/>
      <c r="H6" s="36" t="s">
        <v>22</v>
      </c>
      <c r="I6" s="14">
        <v>154.65</v>
      </c>
      <c r="J6" s="15" t="s">
        <v>11</v>
      </c>
      <c r="K6" s="15"/>
      <c r="L6" s="13">
        <v>1</v>
      </c>
      <c r="M6" s="21">
        <v>1745.95</v>
      </c>
      <c r="N6" s="33" t="s">
        <v>23</v>
      </c>
      <c r="O6" s="15" t="s">
        <v>11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11847.42</v>
      </c>
      <c r="F7" s="46"/>
      <c r="G7" s="15"/>
      <c r="H7" s="36" t="s">
        <v>24</v>
      </c>
      <c r="I7" s="14">
        <v>300</v>
      </c>
      <c r="J7" s="15"/>
      <c r="K7" s="15"/>
      <c r="L7" s="13">
        <v>21</v>
      </c>
      <c r="M7" s="21">
        <v>2166.67</v>
      </c>
      <c r="N7" s="33" t="s">
        <v>25</v>
      </c>
      <c r="O7" s="15" t="s">
        <v>11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6" t="s">
        <v>26</v>
      </c>
      <c r="I8" s="14">
        <v>114.9</v>
      </c>
      <c r="J8" s="15"/>
      <c r="K8" s="15"/>
      <c r="L8" s="13">
        <v>1</v>
      </c>
      <c r="M8" s="21">
        <v>1185.8</v>
      </c>
      <c r="N8" s="33" t="s">
        <v>17</v>
      </c>
      <c r="O8" s="15" t="s">
        <v>11</v>
      </c>
      <c r="P8" s="23"/>
      <c r="Q8" s="21"/>
      <c r="R8" s="22"/>
      <c r="S8" s="9"/>
    </row>
    <row r="9" spans="1:19" ht="17.25" customHeight="1">
      <c r="A9" s="28"/>
      <c r="B9" s="26"/>
      <c r="C9" s="26"/>
      <c r="D9" s="26"/>
      <c r="E9" s="26"/>
      <c r="F9" s="28"/>
      <c r="G9" s="15"/>
      <c r="H9" s="36" t="s">
        <v>27</v>
      </c>
      <c r="I9" s="14">
        <v>832.7</v>
      </c>
      <c r="J9" s="15" t="s">
        <v>11</v>
      </c>
      <c r="K9" s="15"/>
      <c r="L9" s="13">
        <v>1</v>
      </c>
      <c r="M9" s="21">
        <v>565.6</v>
      </c>
      <c r="N9" s="33" t="s">
        <v>28</v>
      </c>
      <c r="O9" s="15" t="s">
        <v>11</v>
      </c>
      <c r="P9" s="23"/>
      <c r="Q9" s="21"/>
      <c r="R9" s="22"/>
      <c r="S9" s="9"/>
    </row>
    <row r="10" spans="1:19" ht="17.25" customHeight="1">
      <c r="A10" s="28"/>
      <c r="B10" s="28"/>
      <c r="C10" s="28"/>
      <c r="D10" s="28"/>
      <c r="E10" s="28"/>
      <c r="F10" s="28"/>
      <c r="G10" s="15"/>
      <c r="H10" s="36" t="s">
        <v>29</v>
      </c>
      <c r="I10" s="14">
        <v>101.45</v>
      </c>
      <c r="J10" s="15" t="s">
        <v>11</v>
      </c>
      <c r="K10" s="15"/>
      <c r="L10" s="13">
        <v>5</v>
      </c>
      <c r="M10" s="21">
        <v>183.71</v>
      </c>
      <c r="N10" s="33" t="s">
        <v>30</v>
      </c>
      <c r="O10" s="15" t="s">
        <v>11</v>
      </c>
      <c r="P10" s="23"/>
      <c r="Q10" s="21"/>
      <c r="R10" s="22"/>
      <c r="S10" s="9"/>
    </row>
    <row r="11" spans="1:19" ht="17.25" customHeight="1">
      <c r="A11" s="18"/>
      <c r="B11" s="28"/>
      <c r="C11" s="28"/>
      <c r="D11" s="28"/>
      <c r="E11" s="28"/>
      <c r="F11" s="28"/>
      <c r="G11" s="15"/>
      <c r="H11" s="36" t="s">
        <v>31</v>
      </c>
      <c r="I11" s="14">
        <v>59</v>
      </c>
      <c r="J11" s="15" t="s">
        <v>11</v>
      </c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18"/>
      <c r="B12" s="28"/>
      <c r="C12" s="28"/>
      <c r="D12" s="28"/>
      <c r="E12" s="28"/>
      <c r="F12" s="28"/>
      <c r="G12" s="15"/>
      <c r="H12" s="36" t="s">
        <v>32</v>
      </c>
      <c r="I12" s="14">
        <f>SUM(D5:D6)*0.1</f>
        <v>1034.742</v>
      </c>
      <c r="J12" s="15"/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18"/>
      <c r="B13" s="28"/>
      <c r="C13" s="28"/>
      <c r="D13" s="28"/>
      <c r="E13" s="28"/>
      <c r="F13" s="28"/>
      <c r="G13" s="15"/>
      <c r="H13" s="36" t="s">
        <v>33</v>
      </c>
      <c r="I13" s="14">
        <v>300</v>
      </c>
      <c r="J13" s="15" t="s">
        <v>11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28"/>
      <c r="B14" s="28"/>
      <c r="C14" s="28"/>
      <c r="D14" s="28"/>
      <c r="E14" s="26"/>
      <c r="F14" s="28"/>
      <c r="G14" s="15"/>
      <c r="H14" s="36" t="s">
        <v>34</v>
      </c>
      <c r="I14" s="14">
        <v>1357.42</v>
      </c>
      <c r="J14" s="15" t="s">
        <v>11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28"/>
      <c r="B15" s="28"/>
      <c r="C15" s="28"/>
      <c r="D15" s="28"/>
      <c r="E15" s="26"/>
      <c r="F15" s="28"/>
      <c r="G15" s="15"/>
      <c r="H15" s="36" t="s">
        <v>35</v>
      </c>
      <c r="I15" s="14">
        <v>100</v>
      </c>
      <c r="J15" s="15"/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52025.29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1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2150-40D0-4CF8-B07A-03007C56BD45}">
  <dimension ref="A1:S41"/>
  <sheetViews>
    <sheetView showGridLines="0" zoomScaleNormal="100" workbookViewId="0">
      <selection activeCell="J14" sqref="J14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26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5145.6270000000004</v>
      </c>
      <c r="B2" s="50"/>
      <c r="C2" s="50"/>
      <c r="D2" s="50"/>
      <c r="E2" s="50"/>
      <c r="F2" s="42"/>
      <c r="G2" s="4"/>
      <c r="H2" s="51">
        <f>SUM(I4:I16)*-1</f>
        <v>-6541.6530000000002</v>
      </c>
      <c r="I2" s="51"/>
      <c r="J2" s="4"/>
      <c r="K2" s="4"/>
      <c r="L2" s="52">
        <f>SUM(M5:M16)*-1</f>
        <v>-8540.51</v>
      </c>
      <c r="M2" s="52"/>
      <c r="N2" s="52"/>
      <c r="O2" s="5"/>
      <c r="P2" s="53">
        <f>SUM(H2:N2)</f>
        <v>-15082.163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6" t="s">
        <v>10</v>
      </c>
      <c r="I4" s="14">
        <v>2161.5500000000002</v>
      </c>
      <c r="J4" s="15" t="s">
        <v>20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274</v>
      </c>
      <c r="D5" s="19">
        <v>4226</v>
      </c>
      <c r="E5" s="47">
        <f>7580.86+3195</f>
        <v>10775.86</v>
      </c>
      <c r="F5" s="20">
        <f>IF(A2&gt;0,A2/2,"R$ 0,00")</f>
        <v>2572.8135000000002</v>
      </c>
      <c r="G5" s="15"/>
      <c r="H5" s="36" t="s">
        <v>36</v>
      </c>
      <c r="I5" s="14">
        <v>129.9</v>
      </c>
      <c r="J5" s="15" t="s">
        <v>20</v>
      </c>
      <c r="K5" s="15"/>
      <c r="L5" s="13">
        <v>1</v>
      </c>
      <c r="M5" s="21">
        <v>2183.5500000000002</v>
      </c>
      <c r="N5" s="33" t="s">
        <v>37</v>
      </c>
      <c r="O5" s="15" t="s">
        <v>20</v>
      </c>
      <c r="P5" s="23"/>
      <c r="Q5" s="24">
        <f>SUMIF(J:J,"ok",I:I)+SUMIF(O:O,"ok",M:M)</f>
        <v>14082.163</v>
      </c>
      <c r="R5" s="25">
        <f>P2+Q5</f>
        <v>-1000</v>
      </c>
      <c r="S5" s="9"/>
    </row>
    <row r="6" spans="1:19" ht="17.25" customHeight="1">
      <c r="A6" s="18" t="s">
        <v>21</v>
      </c>
      <c r="B6" s="19">
        <v>7547.89</v>
      </c>
      <c r="C6" s="19">
        <f>B6-D6</f>
        <v>2321.96</v>
      </c>
      <c r="D6" s="19">
        <v>5225.93</v>
      </c>
      <c r="E6" s="47"/>
      <c r="F6" s="20">
        <f>IF(A2&gt;0,A2/2,"R$ 0,00")</f>
        <v>2572.8135000000002</v>
      </c>
      <c r="G6" s="15"/>
      <c r="H6" s="36" t="s">
        <v>22</v>
      </c>
      <c r="I6" s="14">
        <v>204.34</v>
      </c>
      <c r="J6" s="15" t="s">
        <v>20</v>
      </c>
      <c r="K6" s="15"/>
      <c r="L6" s="13">
        <v>1</v>
      </c>
      <c r="M6" s="21">
        <v>1420</v>
      </c>
      <c r="N6" s="33" t="s">
        <v>38</v>
      </c>
      <c r="O6" s="15" t="s">
        <v>20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20227.79</v>
      </c>
      <c r="F7" s="46"/>
      <c r="G7" s="15"/>
      <c r="H7" s="36" t="s">
        <v>24</v>
      </c>
      <c r="I7" s="14">
        <v>300</v>
      </c>
      <c r="J7" s="15" t="s">
        <v>20</v>
      </c>
      <c r="K7" s="15"/>
      <c r="L7" s="13">
        <v>20</v>
      </c>
      <c r="M7" s="21">
        <v>2166.67</v>
      </c>
      <c r="N7" s="33" t="s">
        <v>39</v>
      </c>
      <c r="O7" s="15" t="s">
        <v>20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6" t="s">
        <v>26</v>
      </c>
      <c r="I8" s="14">
        <v>171.65</v>
      </c>
      <c r="J8" s="15" t="s">
        <v>20</v>
      </c>
      <c r="K8" s="15"/>
      <c r="L8" s="13">
        <v>1</v>
      </c>
      <c r="M8" s="21">
        <v>1459.12</v>
      </c>
      <c r="N8" s="33" t="s">
        <v>17</v>
      </c>
      <c r="O8" s="15" t="s">
        <v>20</v>
      </c>
      <c r="P8" s="23"/>
      <c r="Q8" s="21"/>
      <c r="R8" s="22"/>
      <c r="S8" s="9"/>
    </row>
    <row r="9" spans="1:19" ht="17.25" customHeight="1">
      <c r="A9" s="28"/>
      <c r="B9" s="26"/>
      <c r="C9" s="26"/>
      <c r="D9" s="26"/>
      <c r="E9" s="26"/>
      <c r="F9" s="28"/>
      <c r="G9" s="15"/>
      <c r="H9" s="36" t="s">
        <v>27</v>
      </c>
      <c r="I9" s="14">
        <v>691.62</v>
      </c>
      <c r="J9" s="15" t="s">
        <v>20</v>
      </c>
      <c r="K9" s="15"/>
      <c r="L9" s="13">
        <v>10</v>
      </c>
      <c r="M9" s="21">
        <v>127.46</v>
      </c>
      <c r="N9" s="33" t="s">
        <v>40</v>
      </c>
      <c r="O9" s="15" t="s">
        <v>20</v>
      </c>
      <c r="P9" s="23"/>
      <c r="Q9" s="21"/>
      <c r="R9" s="22"/>
      <c r="S9" s="9"/>
    </row>
    <row r="10" spans="1:19" ht="17.25" customHeight="1">
      <c r="A10" s="28"/>
      <c r="B10" s="28"/>
      <c r="C10" s="28"/>
      <c r="D10" s="28"/>
      <c r="E10" s="28"/>
      <c r="F10" s="28"/>
      <c r="G10" s="15"/>
      <c r="H10" s="36" t="s">
        <v>29</v>
      </c>
      <c r="I10" s="14">
        <v>120.98</v>
      </c>
      <c r="J10" s="15" t="s">
        <v>20</v>
      </c>
      <c r="K10" s="15"/>
      <c r="L10" s="13">
        <v>4</v>
      </c>
      <c r="M10" s="21">
        <v>183.71</v>
      </c>
      <c r="N10" s="33" t="s">
        <v>30</v>
      </c>
      <c r="O10" s="15" t="s">
        <v>20</v>
      </c>
      <c r="P10" s="23"/>
      <c r="Q10" s="21"/>
      <c r="R10" s="22"/>
      <c r="S10" s="9"/>
    </row>
    <row r="11" spans="1:19" ht="17.25" customHeight="1">
      <c r="A11" s="18"/>
      <c r="B11" s="28"/>
      <c r="C11" s="28"/>
      <c r="D11" s="28"/>
      <c r="E11" s="28"/>
      <c r="F11" s="28"/>
      <c r="G11" s="15"/>
      <c r="H11" s="36" t="s">
        <v>31</v>
      </c>
      <c r="I11" s="14">
        <v>59</v>
      </c>
      <c r="J11" s="15" t="s">
        <v>20</v>
      </c>
      <c r="K11" s="15"/>
      <c r="L11" s="13">
        <v>1</v>
      </c>
      <c r="M11" s="21">
        <v>1000</v>
      </c>
      <c r="N11" s="33" t="s">
        <v>41</v>
      </c>
      <c r="O11" s="29"/>
      <c r="P11" s="23"/>
      <c r="Q11" s="21"/>
      <c r="R11" s="22"/>
      <c r="S11" s="9"/>
    </row>
    <row r="12" spans="1:19" ht="17.25" customHeight="1">
      <c r="A12" s="18"/>
      <c r="B12" s="28"/>
      <c r="C12" s="28"/>
      <c r="D12" s="28"/>
      <c r="E12" s="28"/>
      <c r="F12" s="28"/>
      <c r="G12" s="15"/>
      <c r="H12" s="36" t="s">
        <v>32</v>
      </c>
      <c r="I12" s="14">
        <f>SUM(D5:D6)*0.1</f>
        <v>945.1930000000001</v>
      </c>
      <c r="J12" s="15" t="s">
        <v>20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18"/>
      <c r="B13" s="28"/>
      <c r="C13" s="28"/>
      <c r="D13" s="28"/>
      <c r="E13" s="28"/>
      <c r="F13" s="28"/>
      <c r="G13" s="15"/>
      <c r="H13" s="36" t="s">
        <v>33</v>
      </c>
      <c r="I13" s="14">
        <v>300</v>
      </c>
      <c r="J13" s="15" t="s">
        <v>20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28"/>
      <c r="B14" s="28"/>
      <c r="C14" s="28"/>
      <c r="D14" s="28"/>
      <c r="E14" s="26"/>
      <c r="F14" s="28"/>
      <c r="G14" s="15"/>
      <c r="H14" s="36" t="s">
        <v>34</v>
      </c>
      <c r="I14" s="14">
        <v>1357.42</v>
      </c>
      <c r="J14" s="15" t="s">
        <v>20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28"/>
      <c r="B15" s="28"/>
      <c r="C15" s="28"/>
      <c r="D15" s="28"/>
      <c r="E15" s="26"/>
      <c r="F15" s="28"/>
      <c r="G15" s="15"/>
      <c r="H15" s="36" t="s">
        <v>35</v>
      </c>
      <c r="I15" s="14">
        <v>100</v>
      </c>
      <c r="J15" s="15" t="s">
        <v>20</v>
      </c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51405.51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1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43C5-890B-4EAB-8F03-3DD741106B4A}">
  <dimension ref="A1:S41"/>
  <sheetViews>
    <sheetView showGridLines="0" topLeftCell="D1" zoomScaleNormal="100" workbookViewId="0">
      <selection activeCell="P18" sqref="P18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212.96999999999935</v>
      </c>
      <c r="B2" s="50"/>
      <c r="C2" s="50"/>
      <c r="D2" s="50"/>
      <c r="E2" s="50"/>
      <c r="F2" s="42"/>
      <c r="G2" s="4"/>
      <c r="H2" s="51">
        <f>SUM(I4:I16)*-1</f>
        <v>-6413.2300000000005</v>
      </c>
      <c r="I2" s="51"/>
      <c r="J2" s="4"/>
      <c r="K2" s="4"/>
      <c r="L2" s="52">
        <f>SUM(M5:M16)*-1</f>
        <v>-7099.4</v>
      </c>
      <c r="M2" s="52"/>
      <c r="N2" s="52"/>
      <c r="O2" s="5"/>
      <c r="P2" s="53">
        <f>SUM(H2:N2)</f>
        <v>-13512.630000000001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6" t="s">
        <v>10</v>
      </c>
      <c r="I4" s="14">
        <v>2161.5500000000002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1820</v>
      </c>
      <c r="D5" s="19">
        <v>2680</v>
      </c>
      <c r="E5" s="47">
        <f>4500+2900</f>
        <v>7400</v>
      </c>
      <c r="F5" s="20">
        <f>IF(A2&gt;0,A2/2,"R$ 0,00")</f>
        <v>106.48499999999967</v>
      </c>
      <c r="G5" s="15"/>
      <c r="H5" s="36" t="s">
        <v>36</v>
      </c>
      <c r="I5" s="14">
        <v>129.9</v>
      </c>
      <c r="J5" s="15" t="s">
        <v>42</v>
      </c>
      <c r="K5" s="15"/>
      <c r="L5" s="13">
        <v>1</v>
      </c>
      <c r="M5" s="21">
        <v>2221.21</v>
      </c>
      <c r="N5" s="33" t="s">
        <v>37</v>
      </c>
      <c r="O5" s="15" t="s">
        <v>42</v>
      </c>
      <c r="P5" s="23"/>
      <c r="Q5" s="24">
        <f>SUMIF(J:J,"ok",I:I)+SUMIF(O:O,"ok",M:M)</f>
        <v>13512.630000000001</v>
      </c>
      <c r="R5" s="25">
        <f>P2+Q5</f>
        <v>0</v>
      </c>
      <c r="S5" s="9"/>
    </row>
    <row r="6" spans="1:19" ht="17.25" customHeight="1">
      <c r="A6" s="18" t="s">
        <v>21</v>
      </c>
      <c r="B6" s="19">
        <v>7547.89</v>
      </c>
      <c r="C6" s="19">
        <f>B6-D6</f>
        <v>3902.2900000000004</v>
      </c>
      <c r="D6" s="19">
        <v>3645.6</v>
      </c>
      <c r="E6" s="47"/>
      <c r="F6" s="20">
        <f>IF(A2&gt;0,A2/2,"R$ 0,00")</f>
        <v>106.48499999999967</v>
      </c>
      <c r="G6" s="15"/>
      <c r="H6" s="36" t="s">
        <v>22</v>
      </c>
      <c r="I6" s="14">
        <v>169.29</v>
      </c>
      <c r="J6" s="15" t="s">
        <v>42</v>
      </c>
      <c r="K6" s="15"/>
      <c r="L6" s="13">
        <v>1</v>
      </c>
      <c r="M6" s="21">
        <f>1202.25</f>
        <v>1202.25</v>
      </c>
      <c r="N6" s="37" t="s">
        <v>43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13725.6</v>
      </c>
      <c r="F7" s="46"/>
      <c r="G7" s="15"/>
      <c r="H7" s="36" t="s">
        <v>24</v>
      </c>
      <c r="I7" s="14">
        <v>300</v>
      </c>
      <c r="J7" s="15" t="s">
        <v>42</v>
      </c>
      <c r="K7" s="15"/>
      <c r="L7" s="13">
        <v>19</v>
      </c>
      <c r="M7" s="21">
        <v>2166.67</v>
      </c>
      <c r="N7" s="33" t="s">
        <v>39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6" t="s">
        <v>26</v>
      </c>
      <c r="I8" s="14">
        <v>85.33</v>
      </c>
      <c r="J8" s="15" t="s">
        <v>42</v>
      </c>
      <c r="K8" s="15"/>
      <c r="L8" s="13">
        <v>9</v>
      </c>
      <c r="M8" s="21">
        <v>222.98</v>
      </c>
      <c r="N8" s="33" t="s">
        <v>40</v>
      </c>
      <c r="O8" s="15" t="s">
        <v>42</v>
      </c>
      <c r="P8" s="23"/>
      <c r="Q8" s="21"/>
      <c r="R8" s="22"/>
      <c r="S8" s="9"/>
    </row>
    <row r="9" spans="1:19" ht="17.25" customHeight="1">
      <c r="A9" s="28"/>
      <c r="B9" s="26"/>
      <c r="C9" s="26"/>
      <c r="D9" s="26"/>
      <c r="E9" s="26"/>
      <c r="F9" s="28"/>
      <c r="G9" s="15"/>
      <c r="H9" s="36" t="s">
        <v>27</v>
      </c>
      <c r="I9" s="14">
        <v>691.8</v>
      </c>
      <c r="J9" s="15" t="s">
        <v>42</v>
      </c>
      <c r="K9" s="15"/>
      <c r="L9" s="13">
        <v>3</v>
      </c>
      <c r="M9" s="21">
        <v>183.71</v>
      </c>
      <c r="N9" s="33" t="s">
        <v>30</v>
      </c>
      <c r="O9" s="15" t="s">
        <v>42</v>
      </c>
      <c r="P9" s="23"/>
      <c r="Q9" s="21"/>
      <c r="R9" s="22"/>
      <c r="S9" s="9"/>
    </row>
    <row r="10" spans="1:19" ht="17.25" customHeight="1">
      <c r="A10" s="28"/>
      <c r="B10" s="28"/>
      <c r="C10" s="28"/>
      <c r="D10" s="28"/>
      <c r="E10" s="28"/>
      <c r="F10" s="28"/>
      <c r="G10" s="15"/>
      <c r="H10" s="36" t="s">
        <v>29</v>
      </c>
      <c r="I10" s="14">
        <v>136.38</v>
      </c>
      <c r="J10" s="15" t="s">
        <v>42</v>
      </c>
      <c r="K10" s="15"/>
      <c r="L10" s="13">
        <v>1</v>
      </c>
      <c r="M10" s="21">
        <v>1102.58</v>
      </c>
      <c r="N10" s="33" t="s">
        <v>44</v>
      </c>
      <c r="O10" s="15" t="s">
        <v>42</v>
      </c>
      <c r="P10" s="23"/>
      <c r="Q10" s="21"/>
      <c r="R10" s="22"/>
      <c r="S10" s="9"/>
    </row>
    <row r="11" spans="1:19" ht="17.25" customHeight="1">
      <c r="A11" s="18"/>
      <c r="B11" s="28"/>
      <c r="C11" s="28"/>
      <c r="D11" s="28"/>
      <c r="E11" s="28"/>
      <c r="F11" s="28"/>
      <c r="G11" s="15"/>
      <c r="H11" s="36" t="s">
        <v>31</v>
      </c>
      <c r="I11" s="14">
        <v>59</v>
      </c>
      <c r="J11" s="15" t="s">
        <v>42</v>
      </c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18"/>
      <c r="B12" s="28"/>
      <c r="C12" s="28"/>
      <c r="D12" s="28"/>
      <c r="E12" s="28"/>
      <c r="F12" s="28"/>
      <c r="G12" s="15"/>
      <c r="H12" s="36" t="s">
        <v>32</v>
      </c>
      <c r="I12" s="14">
        <f>SUM(D5:D6)*0.1+290</f>
        <v>922.56000000000006</v>
      </c>
      <c r="J12" s="15" t="s">
        <v>42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18"/>
      <c r="B13" s="28"/>
      <c r="C13" s="28"/>
      <c r="D13" s="28"/>
      <c r="E13" s="28"/>
      <c r="F13" s="28"/>
      <c r="G13" s="15"/>
      <c r="H13" s="36" t="s">
        <v>33</v>
      </c>
      <c r="I13" s="14">
        <v>300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28"/>
      <c r="B14" s="28"/>
      <c r="C14" s="28"/>
      <c r="D14" s="28"/>
      <c r="E14" s="26"/>
      <c r="F14" s="28"/>
      <c r="G14" s="15"/>
      <c r="H14" s="36" t="s">
        <v>34</v>
      </c>
      <c r="I14" s="14">
        <v>1357.42</v>
      </c>
      <c r="J14" s="15" t="s">
        <v>42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28"/>
      <c r="B15" s="28"/>
      <c r="C15" s="28"/>
      <c r="D15" s="28"/>
      <c r="E15" s="26"/>
      <c r="F15" s="28"/>
      <c r="G15" s="15"/>
      <c r="H15" s="36" t="s">
        <v>35</v>
      </c>
      <c r="I15" s="14">
        <v>100</v>
      </c>
      <c r="J15" s="15" t="s">
        <v>42</v>
      </c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48250.720000000001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9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4D0F-ED05-4FCC-9046-77B109363C7B}">
  <dimension ref="A1:S41"/>
  <sheetViews>
    <sheetView showGridLines="0" zoomScaleNormal="100" workbookViewId="0">
      <selection activeCell="H6" sqref="H6:J6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5505.18</v>
      </c>
      <c r="B2" s="50"/>
      <c r="C2" s="50"/>
      <c r="D2" s="50"/>
      <c r="E2" s="50"/>
      <c r="F2" s="42"/>
      <c r="G2" s="4"/>
      <c r="H2" s="51">
        <f>SUM(I4:I16)*-1</f>
        <v>-6319.6200000000008</v>
      </c>
      <c r="I2" s="51"/>
      <c r="J2" s="4"/>
      <c r="K2" s="4"/>
      <c r="L2" s="52">
        <f>SUM(M5:M16)*-1</f>
        <v>-9299.6</v>
      </c>
      <c r="M2" s="52"/>
      <c r="N2" s="52"/>
      <c r="O2" s="5"/>
      <c r="P2" s="53">
        <f>SUM(H2:N2)</f>
        <v>-15619.220000000001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6" t="s">
        <v>10</v>
      </c>
      <c r="I4" s="14">
        <v>2161.5500000000002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373</v>
      </c>
      <c r="D5" s="19">
        <v>4127</v>
      </c>
      <c r="E5" s="47">
        <v>11400</v>
      </c>
      <c r="F5" s="20">
        <f>IF(A2&gt;0,A2/2,"R$ 0,00")</f>
        <v>2752.59</v>
      </c>
      <c r="G5" s="15"/>
      <c r="H5" s="36" t="s">
        <v>36</v>
      </c>
      <c r="I5" s="14">
        <v>129.9</v>
      </c>
      <c r="J5" s="15" t="s">
        <v>42</v>
      </c>
      <c r="K5" s="15"/>
      <c r="L5" s="13">
        <v>1</v>
      </c>
      <c r="M5" s="21">
        <v>2250.66</v>
      </c>
      <c r="N5" s="33" t="s">
        <v>37</v>
      </c>
      <c r="O5" s="15" t="s">
        <v>42</v>
      </c>
      <c r="P5" s="23"/>
      <c r="Q5" s="24">
        <f>SUMIF(J:J,"ok",I:I)+SUMIF(O:O,"ok",M:M)</f>
        <v>15619.220000000001</v>
      </c>
      <c r="R5" s="25">
        <f>P2+Q5</f>
        <v>0</v>
      </c>
      <c r="S5" s="9"/>
    </row>
    <row r="6" spans="1:19" ht="17.25" customHeight="1">
      <c r="A6" s="18" t="s">
        <v>21</v>
      </c>
      <c r="B6" s="19">
        <v>7547.89</v>
      </c>
      <c r="C6" s="19">
        <f>B6-D6</f>
        <v>1950.4900000000007</v>
      </c>
      <c r="D6" s="19">
        <v>5597.4</v>
      </c>
      <c r="E6" s="47"/>
      <c r="F6" s="20">
        <f>IF(A2&gt;0,A2/2,"R$ 0,00")</f>
        <v>2752.59</v>
      </c>
      <c r="G6" s="15"/>
      <c r="H6" s="36" t="s">
        <v>22</v>
      </c>
      <c r="I6" s="14">
        <v>178.04</v>
      </c>
      <c r="J6" s="15" t="s">
        <v>42</v>
      </c>
      <c r="K6" s="15"/>
      <c r="L6" s="13">
        <v>1</v>
      </c>
      <c r="M6" s="21">
        <f>1503.33</f>
        <v>1503.33</v>
      </c>
      <c r="N6" s="37" t="s">
        <v>43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21124.400000000001</v>
      </c>
      <c r="F7" s="46"/>
      <c r="G7" s="15"/>
      <c r="H7" s="36" t="s">
        <v>24</v>
      </c>
      <c r="I7" s="14">
        <v>300</v>
      </c>
      <c r="J7" s="15" t="s">
        <v>42</v>
      </c>
      <c r="K7" s="15"/>
      <c r="L7" s="13">
        <v>18</v>
      </c>
      <c r="M7" s="21">
        <v>2166.67</v>
      </c>
      <c r="N7" s="33" t="s">
        <v>39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6" t="s">
        <v>26</v>
      </c>
      <c r="I8" s="14">
        <v>84.9</v>
      </c>
      <c r="J8" s="15" t="s">
        <v>42</v>
      </c>
      <c r="K8" s="15"/>
      <c r="L8" s="13">
        <v>9</v>
      </c>
      <c r="M8" s="21">
        <v>348.47</v>
      </c>
      <c r="N8" s="33" t="s">
        <v>40</v>
      </c>
      <c r="O8" s="15" t="s">
        <v>42</v>
      </c>
      <c r="P8" s="23"/>
      <c r="Q8" s="21"/>
      <c r="R8" s="22"/>
      <c r="S8" s="9"/>
    </row>
    <row r="9" spans="1:19" ht="17.25" customHeight="1">
      <c r="A9" s="28"/>
      <c r="B9" s="26"/>
      <c r="C9" s="26"/>
      <c r="D9" s="26"/>
      <c r="E9" s="26"/>
      <c r="F9" s="28"/>
      <c r="G9" s="15"/>
      <c r="H9" s="36" t="s">
        <v>27</v>
      </c>
      <c r="I9" s="14">
        <v>545.4</v>
      </c>
      <c r="J9" s="15" t="s">
        <v>42</v>
      </c>
      <c r="K9" s="15"/>
      <c r="L9" s="13">
        <v>2</v>
      </c>
      <c r="M9" s="21">
        <v>183.71</v>
      </c>
      <c r="N9" s="33" t="s">
        <v>30</v>
      </c>
      <c r="O9" s="15" t="s">
        <v>42</v>
      </c>
      <c r="P9" s="23"/>
      <c r="Q9" s="21"/>
      <c r="R9" s="22"/>
      <c r="S9" s="9"/>
    </row>
    <row r="10" spans="1:19" ht="17.25" customHeight="1">
      <c r="A10" s="28"/>
      <c r="B10" s="28"/>
      <c r="C10" s="28"/>
      <c r="D10" s="28"/>
      <c r="E10" s="28"/>
      <c r="F10" s="28"/>
      <c r="G10" s="15"/>
      <c r="H10" s="36" t="s">
        <v>29</v>
      </c>
      <c r="I10" s="14">
        <v>130.97</v>
      </c>
      <c r="J10" s="15" t="s">
        <v>42</v>
      </c>
      <c r="K10" s="15"/>
      <c r="L10" s="13">
        <v>1</v>
      </c>
      <c r="M10" s="21">
        <v>2773.23</v>
      </c>
      <c r="N10" s="33" t="s">
        <v>44</v>
      </c>
      <c r="O10" s="15" t="s">
        <v>42</v>
      </c>
      <c r="P10" s="23"/>
      <c r="Q10" s="21"/>
      <c r="R10" s="22"/>
      <c r="S10" s="9"/>
    </row>
    <row r="11" spans="1:19" ht="17.25" customHeight="1">
      <c r="A11" s="18"/>
      <c r="B11" s="28"/>
      <c r="C11" s="28"/>
      <c r="D11" s="28"/>
      <c r="E11" s="28"/>
      <c r="F11" s="28"/>
      <c r="G11" s="15"/>
      <c r="H11" s="36" t="s">
        <v>31</v>
      </c>
      <c r="I11" s="14">
        <v>59</v>
      </c>
      <c r="J11" s="15" t="s">
        <v>42</v>
      </c>
      <c r="K11" s="15"/>
      <c r="L11" s="13">
        <v>9</v>
      </c>
      <c r="M11" s="21">
        <v>73.53</v>
      </c>
      <c r="N11" s="33" t="s">
        <v>45</v>
      </c>
      <c r="O11" s="29" t="s">
        <v>42</v>
      </c>
      <c r="P11" s="23"/>
      <c r="Q11" s="21"/>
      <c r="R11" s="22"/>
      <c r="S11" s="9"/>
    </row>
    <row r="12" spans="1:19" ht="17.25" customHeight="1">
      <c r="A12" s="18"/>
      <c r="B12" s="28"/>
      <c r="C12" s="28"/>
      <c r="D12" s="28"/>
      <c r="E12" s="28"/>
      <c r="F12" s="28"/>
      <c r="G12" s="15"/>
      <c r="H12" s="36" t="s">
        <v>32</v>
      </c>
      <c r="I12" s="14">
        <f>SUM(D5:D6)*0.1</f>
        <v>972.44</v>
      </c>
      <c r="J12" s="15" t="s">
        <v>42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18"/>
      <c r="B13" s="28"/>
      <c r="C13" s="28"/>
      <c r="D13" s="28"/>
      <c r="E13" s="28"/>
      <c r="F13" s="28"/>
      <c r="G13" s="15"/>
      <c r="H13" s="36" t="s">
        <v>33</v>
      </c>
      <c r="I13" s="14">
        <v>300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28"/>
      <c r="B14" s="28"/>
      <c r="C14" s="28"/>
      <c r="D14" s="28"/>
      <c r="E14" s="26"/>
      <c r="F14" s="28"/>
      <c r="G14" s="15"/>
      <c r="H14" s="36" t="s">
        <v>34</v>
      </c>
      <c r="I14" s="14">
        <v>1357.42</v>
      </c>
      <c r="J14" s="15" t="s">
        <v>42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28"/>
      <c r="B15" s="28"/>
      <c r="C15" s="28"/>
      <c r="D15" s="28"/>
      <c r="E15" s="26"/>
      <c r="F15" s="28"/>
      <c r="G15" s="15"/>
      <c r="H15" s="36" t="s">
        <v>35</v>
      </c>
      <c r="I15" s="14">
        <v>100</v>
      </c>
      <c r="J15" s="15" t="s">
        <v>42</v>
      </c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49692.7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8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46FF-2504-421B-A702-16787D69A93F}">
  <dimension ref="A1:S41"/>
  <sheetViews>
    <sheetView showGridLines="0" zoomScaleNormal="100" workbookViewId="0">
      <selection activeCell="J10" sqref="J10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1384.030999999999</v>
      </c>
      <c r="B2" s="50"/>
      <c r="C2" s="50"/>
      <c r="D2" s="50"/>
      <c r="E2" s="50"/>
      <c r="F2" s="42"/>
      <c r="G2" s="4"/>
      <c r="H2" s="51">
        <f>SUM(I4:I16)*-1</f>
        <v>-6466.7090000000007</v>
      </c>
      <c r="I2" s="51"/>
      <c r="J2" s="4"/>
      <c r="K2" s="4"/>
      <c r="L2" s="52">
        <f>SUM(M5:M16)*-1</f>
        <v>-6735.25</v>
      </c>
      <c r="M2" s="52"/>
      <c r="N2" s="52"/>
      <c r="O2" s="5"/>
      <c r="P2" s="53">
        <f>SUM(H2:N2)</f>
        <v>-13201.959000000001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2161.5500000000002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274</v>
      </c>
      <c r="D5" s="19">
        <v>4226</v>
      </c>
      <c r="E5" s="47">
        <f>SUM(B10:B16)</f>
        <v>4000</v>
      </c>
      <c r="F5" s="20">
        <f>IF(A2&gt;0,A2/2,"R$ 0,00")</f>
        <v>692.01549999999952</v>
      </c>
      <c r="G5" s="15"/>
      <c r="H5" s="38" t="s">
        <v>36</v>
      </c>
      <c r="I5" s="14">
        <v>129.9</v>
      </c>
      <c r="J5" s="15" t="s">
        <v>42</v>
      </c>
      <c r="K5" s="15"/>
      <c r="L5" s="13">
        <v>1</v>
      </c>
      <c r="M5" s="21">
        <v>1400</v>
      </c>
      <c r="N5" s="33" t="s">
        <v>37</v>
      </c>
      <c r="O5" s="15" t="s">
        <v>42</v>
      </c>
      <c r="P5" s="23"/>
      <c r="Q5" s="24">
        <f>SUMIF(J:J,"ok",I:I)+SUMIF(O:O,"ok",M:M)</f>
        <v>13201.959000000001</v>
      </c>
      <c r="R5" s="25">
        <f>P2+Q5</f>
        <v>0</v>
      </c>
      <c r="S5" s="9"/>
    </row>
    <row r="6" spans="1:19" ht="17.25" customHeight="1">
      <c r="A6" s="18" t="s">
        <v>21</v>
      </c>
      <c r="B6" s="19">
        <v>8700.91</v>
      </c>
      <c r="C6" s="19">
        <f>B6-D6</f>
        <v>2340.92</v>
      </c>
      <c r="D6" s="19">
        <v>6359.99</v>
      </c>
      <c r="E6" s="47"/>
      <c r="F6" s="20">
        <f>IF(A2&gt;0,A2/2,"R$ 0,00")</f>
        <v>692.01549999999952</v>
      </c>
      <c r="G6" s="15"/>
      <c r="H6" s="38" t="s">
        <v>22</v>
      </c>
      <c r="I6" s="14">
        <v>197.92</v>
      </c>
      <c r="J6" s="15" t="s">
        <v>42</v>
      </c>
      <c r="K6" s="15"/>
      <c r="L6" s="13">
        <v>4</v>
      </c>
      <c r="M6" s="21">
        <v>1182.3399999999999</v>
      </c>
      <c r="N6" s="37" t="s">
        <v>46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14585.99</v>
      </c>
      <c r="F7" s="46"/>
      <c r="G7" s="15"/>
      <c r="H7" s="38" t="s">
        <v>24</v>
      </c>
      <c r="I7" s="14">
        <v>300</v>
      </c>
      <c r="J7" s="15" t="s">
        <v>42</v>
      </c>
      <c r="K7" s="15"/>
      <c r="L7" s="13">
        <v>17</v>
      </c>
      <c r="M7" s="21">
        <v>2166.67</v>
      </c>
      <c r="N7" s="33" t="s">
        <v>39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84.9</v>
      </c>
      <c r="J8" s="15" t="s">
        <v>42</v>
      </c>
      <c r="K8" s="15"/>
      <c r="L8" s="13">
        <v>8</v>
      </c>
      <c r="M8" s="21">
        <v>400</v>
      </c>
      <c r="N8" s="33" t="s">
        <v>40</v>
      </c>
      <c r="O8" s="15" t="s">
        <v>42</v>
      </c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545.23</v>
      </c>
      <c r="J9" s="15" t="s">
        <v>42</v>
      </c>
      <c r="K9" s="15"/>
      <c r="L9" s="13">
        <v>1</v>
      </c>
      <c r="M9" s="21">
        <v>183.71</v>
      </c>
      <c r="N9" s="33" t="s">
        <v>30</v>
      </c>
      <c r="O9" s="15" t="s">
        <v>42</v>
      </c>
      <c r="P9" s="23"/>
      <c r="Q9" s="21"/>
      <c r="R9" s="22"/>
      <c r="S9" s="9"/>
    </row>
    <row r="10" spans="1:19" ht="17.25" customHeight="1">
      <c r="A10" s="33" t="s">
        <v>47</v>
      </c>
      <c r="B10" s="39">
        <v>4000</v>
      </c>
      <c r="C10" s="28"/>
      <c r="D10" s="28"/>
      <c r="E10" s="28"/>
      <c r="F10" s="28"/>
      <c r="G10" s="15"/>
      <c r="H10" s="38" t="s">
        <v>29</v>
      </c>
      <c r="I10" s="14">
        <v>142.19</v>
      </c>
      <c r="J10" s="15" t="s">
        <v>42</v>
      </c>
      <c r="K10" s="15"/>
      <c r="L10" s="13">
        <v>1</v>
      </c>
      <c r="M10" s="21">
        <v>1329</v>
      </c>
      <c r="N10" s="33" t="s">
        <v>44</v>
      </c>
      <c r="O10" s="15" t="s">
        <v>42</v>
      </c>
      <c r="P10" s="23"/>
      <c r="Q10" s="21"/>
      <c r="R10" s="22"/>
      <c r="S10" s="9"/>
    </row>
    <row r="11" spans="1:19" ht="17.25" customHeight="1">
      <c r="A11" s="33"/>
      <c r="B11" s="39"/>
      <c r="C11" s="28"/>
      <c r="D11" s="28"/>
      <c r="E11" s="28"/>
      <c r="F11" s="28"/>
      <c r="G11" s="15"/>
      <c r="H11" s="38" t="s">
        <v>31</v>
      </c>
      <c r="I11" s="14">
        <v>59</v>
      </c>
      <c r="J11" s="15" t="s">
        <v>42</v>
      </c>
      <c r="K11" s="15"/>
      <c r="L11" s="13">
        <v>8</v>
      </c>
      <c r="M11" s="21">
        <v>73.53</v>
      </c>
      <c r="N11" s="33" t="s">
        <v>45</v>
      </c>
      <c r="O11" s="29" t="s">
        <v>42</v>
      </c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32</v>
      </c>
      <c r="I12" s="14">
        <f>SUM(D5:D6)*0.1</f>
        <v>1058.5989999999999</v>
      </c>
      <c r="J12" s="15" t="s">
        <v>42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33</v>
      </c>
      <c r="I13" s="14">
        <v>300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34</v>
      </c>
      <c r="I14" s="14">
        <v>1357.42</v>
      </c>
      <c r="J14" s="15" t="s">
        <v>42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38" t="s">
        <v>35</v>
      </c>
      <c r="I15" s="14">
        <v>130</v>
      </c>
      <c r="J15" s="15" t="s">
        <v>42</v>
      </c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48263.7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E5:E6"/>
    <mergeCell ref="A17:D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3FEC-B4AA-4CB4-9462-BCF01906DB75}">
  <dimension ref="A1:S41"/>
  <sheetViews>
    <sheetView showGridLines="0" zoomScaleNormal="100" workbookViewId="0">
      <selection activeCell="C6" sqref="C6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-0.94000000000050932</v>
      </c>
      <c r="B2" s="50"/>
      <c r="C2" s="50"/>
      <c r="D2" s="50"/>
      <c r="E2" s="50"/>
      <c r="F2" s="42"/>
      <c r="G2" s="4"/>
      <c r="H2" s="51">
        <f>SUM(I4:I16)*-1</f>
        <v>-5477.97</v>
      </c>
      <c r="I2" s="51"/>
      <c r="J2" s="4"/>
      <c r="K2" s="4"/>
      <c r="L2" s="52">
        <f>SUM(M5:M16)*-1</f>
        <v>-6232.6500000000005</v>
      </c>
      <c r="M2" s="52"/>
      <c r="N2" s="52"/>
      <c r="O2" s="5"/>
      <c r="P2" s="53">
        <f>SUM(H2:N2)</f>
        <v>-11710.62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2183.33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461</v>
      </c>
      <c r="D5" s="19">
        <v>4039</v>
      </c>
      <c r="E5" s="47">
        <f>SUM(B10:B16)</f>
        <v>1150</v>
      </c>
      <c r="F5" s="20" t="str">
        <f>IF(A2&gt;0,A2/2,"R$ 0,00")</f>
        <v>R$ 0,00</v>
      </c>
      <c r="G5" s="15"/>
      <c r="H5" s="38" t="s">
        <v>18</v>
      </c>
      <c r="I5" s="14">
        <v>129.9</v>
      </c>
      <c r="J5" s="15" t="s">
        <v>42</v>
      </c>
      <c r="K5" s="15"/>
      <c r="L5" s="13">
        <v>3</v>
      </c>
      <c r="M5" s="21">
        <v>1726.21</v>
      </c>
      <c r="N5" s="33" t="s">
        <v>37</v>
      </c>
      <c r="O5" s="15" t="s">
        <v>42</v>
      </c>
      <c r="P5" s="23"/>
      <c r="Q5" s="24">
        <f>SUMIF(J:J,"ok",I:I)+SUMIF(O:O,"ok",M:M)</f>
        <v>11710.62</v>
      </c>
      <c r="R5" s="25">
        <f>P2+Q5</f>
        <v>0</v>
      </c>
      <c r="S5" s="9"/>
    </row>
    <row r="6" spans="1:19" ht="17.25" customHeight="1">
      <c r="A6" s="18" t="s">
        <v>21</v>
      </c>
      <c r="B6" s="19">
        <v>8700.91</v>
      </c>
      <c r="C6" s="19">
        <f>B6-D6</f>
        <v>2180.2299999999996</v>
      </c>
      <c r="D6" s="19">
        <v>6520.68</v>
      </c>
      <c r="E6" s="47"/>
      <c r="F6" s="20" t="str">
        <f>IF(A2&gt;0,A2/2,"R$ 0,00")</f>
        <v>R$ 0,00</v>
      </c>
      <c r="G6" s="15"/>
      <c r="H6" s="38" t="s">
        <v>22</v>
      </c>
      <c r="I6" s="14">
        <v>172.56</v>
      </c>
      <c r="J6" s="15" t="s">
        <v>42</v>
      </c>
      <c r="K6" s="15"/>
      <c r="L6" s="13">
        <v>3</v>
      </c>
      <c r="M6" s="21">
        <v>1230.22</v>
      </c>
      <c r="N6" s="37" t="s">
        <v>46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11709.68</v>
      </c>
      <c r="F7" s="46"/>
      <c r="G7" s="15"/>
      <c r="H7" s="38" t="s">
        <v>24</v>
      </c>
      <c r="I7" s="14">
        <v>300</v>
      </c>
      <c r="J7" s="15" t="s">
        <v>42</v>
      </c>
      <c r="K7" s="15"/>
      <c r="L7" s="13">
        <v>16</v>
      </c>
      <c r="M7" s="21">
        <v>2166.67</v>
      </c>
      <c r="N7" s="33" t="s">
        <v>39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114.9</v>
      </c>
      <c r="J8" s="15" t="s">
        <v>42</v>
      </c>
      <c r="K8" s="15"/>
      <c r="L8" s="13">
        <v>7</v>
      </c>
      <c r="M8" s="21">
        <v>213.27</v>
      </c>
      <c r="N8" s="33" t="s">
        <v>40</v>
      </c>
      <c r="O8" s="15" t="s">
        <v>42</v>
      </c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545.23</v>
      </c>
      <c r="J9" s="15" t="s">
        <v>42</v>
      </c>
      <c r="K9" s="15"/>
      <c r="L9" s="13">
        <v>7</v>
      </c>
      <c r="M9" s="21">
        <v>73.53</v>
      </c>
      <c r="N9" s="33" t="s">
        <v>45</v>
      </c>
      <c r="O9" s="15" t="s">
        <v>42</v>
      </c>
      <c r="P9" s="23"/>
      <c r="Q9" s="21"/>
      <c r="R9" s="22"/>
      <c r="S9" s="9"/>
    </row>
    <row r="10" spans="1:19" ht="17.25" customHeight="1">
      <c r="A10" s="33" t="s">
        <v>47</v>
      </c>
      <c r="B10" s="39">
        <v>1150</v>
      </c>
      <c r="C10" s="28"/>
      <c r="D10" s="28"/>
      <c r="E10" s="28"/>
      <c r="F10" s="28"/>
      <c r="G10" s="15"/>
      <c r="H10" s="38" t="s">
        <v>29</v>
      </c>
      <c r="I10" s="14">
        <v>215.63</v>
      </c>
      <c r="J10" s="15" t="s">
        <v>42</v>
      </c>
      <c r="K10" s="15"/>
      <c r="L10" s="13">
        <v>1</v>
      </c>
      <c r="M10" s="21">
        <v>822.75</v>
      </c>
      <c r="N10" s="33" t="s">
        <v>44</v>
      </c>
      <c r="O10" s="15" t="s">
        <v>42</v>
      </c>
      <c r="P10" s="23"/>
      <c r="Q10" s="21"/>
      <c r="R10" s="22"/>
      <c r="S10" s="9"/>
    </row>
    <row r="11" spans="1:19" ht="17.25" customHeight="1">
      <c r="A11" s="33"/>
      <c r="B11" s="39"/>
      <c r="C11" s="28"/>
      <c r="D11" s="28"/>
      <c r="E11" s="28"/>
      <c r="F11" s="28"/>
      <c r="G11" s="15"/>
      <c r="H11" s="38" t="s">
        <v>31</v>
      </c>
      <c r="I11" s="14">
        <v>59</v>
      </c>
      <c r="J11" s="15" t="s">
        <v>42</v>
      </c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32</v>
      </c>
      <c r="I12" s="14">
        <v>0</v>
      </c>
      <c r="J12" s="15" t="s">
        <v>42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33</v>
      </c>
      <c r="I13" s="14">
        <v>300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34</v>
      </c>
      <c r="I14" s="14">
        <v>1357.42</v>
      </c>
      <c r="J14" s="15" t="s">
        <v>42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38" t="s">
        <v>35</v>
      </c>
      <c r="I15" s="14">
        <v>100</v>
      </c>
      <c r="J15" s="15" t="s">
        <v>42</v>
      </c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46366.36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6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2461-E02C-4F3F-BA8D-9B717E5D5B50}">
  <dimension ref="A1:S41"/>
  <sheetViews>
    <sheetView showGridLines="0" topLeftCell="F1" zoomScaleNormal="100" workbookViewId="0">
      <selection activeCell="M10" sqref="M10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827.20000000000073</v>
      </c>
      <c r="B2" s="50"/>
      <c r="C2" s="50"/>
      <c r="D2" s="50"/>
      <c r="E2" s="50"/>
      <c r="F2" s="42"/>
      <c r="G2" s="4"/>
      <c r="H2" s="51">
        <f>SUM(I4:I16)*-1</f>
        <v>-5028.8899999999994</v>
      </c>
      <c r="I2" s="51"/>
      <c r="J2" s="4"/>
      <c r="K2" s="4"/>
      <c r="L2" s="52">
        <f>SUM(M5:M16)*-1</f>
        <v>-6112.3099999999995</v>
      </c>
      <c r="M2" s="52"/>
      <c r="N2" s="52"/>
      <c r="O2" s="5"/>
      <c r="P2" s="53">
        <f>SUM(H2:N2)</f>
        <v>-11141.199999999999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2186.9299999999998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67.220000000000255</v>
      </c>
      <c r="D5" s="19">
        <v>4432.78</v>
      </c>
      <c r="E5" s="47">
        <f>SUM(B10:B16)</f>
        <v>0</v>
      </c>
      <c r="F5" s="20">
        <f>IF(A2&gt;0,A2/2,"R$ 0,00")</f>
        <v>413.60000000000036</v>
      </c>
      <c r="G5" s="15"/>
      <c r="H5" s="38" t="s">
        <v>36</v>
      </c>
      <c r="I5" s="14">
        <v>129.9</v>
      </c>
      <c r="J5" s="15" t="s">
        <v>42</v>
      </c>
      <c r="K5" s="15"/>
      <c r="L5" s="13">
        <v>2</v>
      </c>
      <c r="M5" s="21">
        <v>1713.51</v>
      </c>
      <c r="N5" s="33" t="s">
        <v>37</v>
      </c>
      <c r="O5" s="15" t="s">
        <v>42</v>
      </c>
      <c r="P5" s="23"/>
      <c r="Q5" s="24">
        <f>SUMIF(J:J,"ok",I:I)+SUMIF(O:O,"ok",M:M)</f>
        <v>11141.199999999999</v>
      </c>
      <c r="R5" s="25">
        <f>P2+Q5</f>
        <v>0</v>
      </c>
      <c r="S5" s="9"/>
    </row>
    <row r="6" spans="1:19" ht="17.25" customHeight="1">
      <c r="A6" s="18" t="s">
        <v>21</v>
      </c>
      <c r="B6" s="19">
        <v>8700.91</v>
      </c>
      <c r="C6" s="19">
        <f>B6-D6</f>
        <v>1165.29</v>
      </c>
      <c r="D6" s="19">
        <v>7535.62</v>
      </c>
      <c r="E6" s="47"/>
      <c r="F6" s="20">
        <f>IF(A2&gt;0,A2/2,"R$ 0,00")</f>
        <v>413.60000000000036</v>
      </c>
      <c r="G6" s="15"/>
      <c r="H6" s="38" t="s">
        <v>22</v>
      </c>
      <c r="I6" s="14">
        <v>211.37</v>
      </c>
      <c r="J6" s="15" t="s">
        <v>42</v>
      </c>
      <c r="K6" s="15"/>
      <c r="L6" s="13">
        <v>2</v>
      </c>
      <c r="M6" s="21">
        <f>1322.4+276.68</f>
        <v>1599.0800000000002</v>
      </c>
      <c r="N6" s="37" t="s">
        <v>46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11968.4</v>
      </c>
      <c r="F7" s="46"/>
      <c r="G7" s="15"/>
      <c r="H7" s="38" t="s">
        <v>24</v>
      </c>
      <c r="I7" s="14">
        <v>0</v>
      </c>
      <c r="J7" s="15" t="s">
        <v>42</v>
      </c>
      <c r="K7" s="15"/>
      <c r="L7" s="13">
        <v>15</v>
      </c>
      <c r="M7" s="21">
        <v>2166.67</v>
      </c>
      <c r="N7" s="33" t="s">
        <v>39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84.9</v>
      </c>
      <c r="J8" s="15" t="s">
        <v>42</v>
      </c>
      <c r="K8" s="15"/>
      <c r="L8" s="13">
        <v>6</v>
      </c>
      <c r="M8" s="21">
        <v>171.45</v>
      </c>
      <c r="N8" s="33" t="s">
        <v>40</v>
      </c>
      <c r="O8" s="15" t="s">
        <v>42</v>
      </c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712.35</v>
      </c>
      <c r="J9" s="15" t="s">
        <v>42</v>
      </c>
      <c r="K9" s="15"/>
      <c r="L9" s="13">
        <v>6</v>
      </c>
      <c r="M9" s="21">
        <v>73.53</v>
      </c>
      <c r="N9" s="33" t="s">
        <v>45</v>
      </c>
      <c r="O9" s="15" t="s">
        <v>42</v>
      </c>
      <c r="P9" s="23"/>
      <c r="Q9" s="21"/>
      <c r="R9" s="22"/>
      <c r="S9" s="9"/>
    </row>
    <row r="10" spans="1:19" ht="15.75">
      <c r="A10" s="33"/>
      <c r="B10" s="39"/>
      <c r="C10" s="39"/>
      <c r="D10" s="39"/>
      <c r="E10" s="39"/>
      <c r="F10" s="39"/>
      <c r="G10" s="15"/>
      <c r="H10" s="38" t="s">
        <v>29</v>
      </c>
      <c r="I10" s="14">
        <v>182.02</v>
      </c>
      <c r="J10" s="15" t="s">
        <v>42</v>
      </c>
      <c r="K10" s="15"/>
      <c r="L10" s="13">
        <v>1</v>
      </c>
      <c r="M10" s="21">
        <v>388.07</v>
      </c>
      <c r="N10" s="33" t="s">
        <v>44</v>
      </c>
      <c r="O10" s="15" t="s">
        <v>42</v>
      </c>
      <c r="P10" s="23"/>
      <c r="Q10" s="21"/>
      <c r="R10" s="22"/>
      <c r="S10" s="9"/>
    </row>
    <row r="11" spans="1:19" ht="17.25" customHeight="1">
      <c r="A11" s="33"/>
      <c r="B11" s="39"/>
      <c r="C11" s="28"/>
      <c r="D11" s="28"/>
      <c r="E11" s="28"/>
      <c r="F11" s="28"/>
      <c r="G11" s="15"/>
      <c r="H11" s="38" t="s">
        <v>31</v>
      </c>
      <c r="I11" s="14">
        <v>64</v>
      </c>
      <c r="J11" s="15" t="s">
        <v>42</v>
      </c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32</v>
      </c>
      <c r="I12" s="14">
        <v>0</v>
      </c>
      <c r="J12" s="15" t="s">
        <v>42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33</v>
      </c>
      <c r="I13" s="14">
        <v>0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34</v>
      </c>
      <c r="I14" s="14">
        <v>1357.42</v>
      </c>
      <c r="J14" s="15" t="s">
        <v>42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38" t="s">
        <v>35</v>
      </c>
      <c r="I15" s="14">
        <v>100</v>
      </c>
      <c r="J15" s="15" t="s">
        <v>42</v>
      </c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40983.18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5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FF64-1510-47C0-AB28-572A184621F4}">
  <dimension ref="A1:S41"/>
  <sheetViews>
    <sheetView showGridLines="0" topLeftCell="F1" zoomScaleNormal="100" workbookViewId="0">
      <selection activeCell="M12" sqref="M12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1" width="9.140625" style="2" bestFit="1" customWidth="1"/>
    <col min="12" max="12" width="8.57031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894.53399999999965</v>
      </c>
      <c r="B2" s="50"/>
      <c r="C2" s="50"/>
      <c r="D2" s="50"/>
      <c r="E2" s="50"/>
      <c r="F2" s="42"/>
      <c r="G2" s="4"/>
      <c r="H2" s="51">
        <f>SUM(I4:I16)*-1</f>
        <v>-6803.5259999999998</v>
      </c>
      <c r="I2" s="51"/>
      <c r="J2" s="4"/>
      <c r="K2" s="4"/>
      <c r="L2" s="52">
        <f>SUM(M5:M16)*-1</f>
        <v>-6151.9</v>
      </c>
      <c r="M2" s="52"/>
      <c r="N2" s="52"/>
      <c r="O2" s="5"/>
      <c r="P2" s="53">
        <f>SUM(H2:N2)</f>
        <v>-12955.425999999999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2190.7199999999998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390</v>
      </c>
      <c r="D5" s="19">
        <v>4110</v>
      </c>
      <c r="E5" s="47">
        <v>4650</v>
      </c>
      <c r="F5" s="20">
        <f>IF(A2&gt;0,A2/2,"R$ 0,00")</f>
        <v>447.26699999999983</v>
      </c>
      <c r="G5" s="15"/>
      <c r="H5" s="38" t="s">
        <v>36</v>
      </c>
      <c r="I5" s="14">
        <v>129.9</v>
      </c>
      <c r="J5" s="15" t="s">
        <v>42</v>
      </c>
      <c r="K5" s="15"/>
      <c r="L5" s="13">
        <v>1</v>
      </c>
      <c r="M5" s="21">
        <f>1463.71</f>
        <v>1463.71</v>
      </c>
      <c r="N5" s="33" t="s">
        <v>37</v>
      </c>
      <c r="O5" s="15" t="s">
        <v>42</v>
      </c>
      <c r="P5" s="23"/>
      <c r="Q5" s="24">
        <f>SUMIF(J:J,"ok",I:I)+SUMIF(O:O,"ok",M:M)</f>
        <v>12955.425999999999</v>
      </c>
      <c r="R5" s="25">
        <f>P2+Q5</f>
        <v>0</v>
      </c>
      <c r="S5" s="9"/>
    </row>
    <row r="6" spans="1:19" ht="17.25" customHeight="1">
      <c r="A6" s="18" t="s">
        <v>21</v>
      </c>
      <c r="B6" s="19">
        <v>10441</v>
      </c>
      <c r="C6" s="19">
        <f>B6-D6</f>
        <v>5351.04</v>
      </c>
      <c r="D6" s="19">
        <v>5089.96</v>
      </c>
      <c r="E6" s="47"/>
      <c r="F6" s="20">
        <f>IF(A2&gt;0,A2/2,"R$ 0,00")</f>
        <v>447.26699999999983</v>
      </c>
      <c r="G6" s="15"/>
      <c r="H6" s="38" t="s">
        <v>22</v>
      </c>
      <c r="I6" s="14">
        <v>163.29</v>
      </c>
      <c r="J6" s="15" t="s">
        <v>42</v>
      </c>
      <c r="K6" s="15"/>
      <c r="L6" s="13">
        <v>1</v>
      </c>
      <c r="M6" s="21">
        <f>1599.08</f>
        <v>1599.08</v>
      </c>
      <c r="N6" s="37" t="s">
        <v>46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13849.96</v>
      </c>
      <c r="F7" s="46"/>
      <c r="G7" s="15"/>
      <c r="H7" s="38" t="s">
        <v>24</v>
      </c>
      <c r="I7" s="14">
        <v>300</v>
      </c>
      <c r="J7" s="15" t="s">
        <v>42</v>
      </c>
      <c r="K7" s="15"/>
      <c r="L7" s="13">
        <v>14</v>
      </c>
      <c r="M7" s="21">
        <f>2166.67</f>
        <v>2166.67</v>
      </c>
      <c r="N7" s="33" t="s">
        <v>39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84.9</v>
      </c>
      <c r="J8" s="15" t="s">
        <v>42</v>
      </c>
      <c r="K8" s="15"/>
      <c r="L8" s="13">
        <v>5</v>
      </c>
      <c r="M8" s="21">
        <v>193.07</v>
      </c>
      <c r="N8" s="33" t="s">
        <v>40</v>
      </c>
      <c r="O8" s="15" t="s">
        <v>42</v>
      </c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550.25</v>
      </c>
      <c r="J9" s="15" t="s">
        <v>42</v>
      </c>
      <c r="K9" s="15"/>
      <c r="L9" s="13">
        <v>5</v>
      </c>
      <c r="M9" s="21">
        <v>73.53</v>
      </c>
      <c r="N9" s="33" t="s">
        <v>45</v>
      </c>
      <c r="O9" s="15" t="s">
        <v>42</v>
      </c>
      <c r="P9" s="23"/>
      <c r="Q9" s="21"/>
      <c r="R9" s="22"/>
      <c r="S9" s="9"/>
    </row>
    <row r="10" spans="1:19" ht="17.25" customHeight="1">
      <c r="A10" s="33" t="s">
        <v>48</v>
      </c>
      <c r="B10" s="39"/>
      <c r="C10" s="28"/>
      <c r="D10" s="28"/>
      <c r="E10" s="28"/>
      <c r="F10" s="28"/>
      <c r="G10" s="15"/>
      <c r="H10" s="38" t="s">
        <v>29</v>
      </c>
      <c r="I10" s="14">
        <v>198.4</v>
      </c>
      <c r="J10" s="15" t="s">
        <v>42</v>
      </c>
      <c r="K10" s="15"/>
      <c r="L10" s="13">
        <v>1</v>
      </c>
      <c r="M10" s="21">
        <v>655.84</v>
      </c>
      <c r="N10" s="33" t="s">
        <v>44</v>
      </c>
      <c r="O10" s="15" t="s">
        <v>42</v>
      </c>
      <c r="P10" s="23"/>
      <c r="Q10" s="21"/>
      <c r="R10" s="22"/>
      <c r="S10" s="9"/>
    </row>
    <row r="11" spans="1:19" ht="17.25" customHeight="1">
      <c r="A11" s="33"/>
      <c r="B11" s="39"/>
      <c r="C11" s="28"/>
      <c r="D11" s="28"/>
      <c r="E11" s="28"/>
      <c r="F11" s="28"/>
      <c r="G11" s="15"/>
      <c r="H11" s="38" t="s">
        <v>31</v>
      </c>
      <c r="I11" s="14">
        <v>65</v>
      </c>
      <c r="J11" s="15" t="s">
        <v>42</v>
      </c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32</v>
      </c>
      <c r="I12" s="14">
        <f>SUM(E7)*0.1</f>
        <v>1384.9960000000001</v>
      </c>
      <c r="J12" s="15" t="s">
        <v>42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33</v>
      </c>
      <c r="I13" s="14">
        <v>278.64999999999998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34</v>
      </c>
      <c r="I14" s="14">
        <v>1357.42</v>
      </c>
      <c r="J14" s="15" t="s">
        <v>42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38" t="s">
        <v>35</v>
      </c>
      <c r="I15" s="14">
        <v>100</v>
      </c>
      <c r="J15" s="15" t="s">
        <v>42</v>
      </c>
      <c r="K15" s="15"/>
      <c r="L15" s="46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35385.009999999995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4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3867-F128-499A-8D38-91333403CE44}">
  <dimension ref="A1:S41"/>
  <sheetViews>
    <sheetView showGridLines="0" zoomScaleNormal="100" workbookViewId="0">
      <selection activeCell="M19" sqref="M19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261.64999999999782</v>
      </c>
      <c r="B2" s="50"/>
      <c r="C2" s="50"/>
      <c r="D2" s="50"/>
      <c r="E2" s="50"/>
      <c r="F2" s="42"/>
      <c r="G2" s="4"/>
      <c r="H2" s="51">
        <f>SUM(I4:I16)*-1</f>
        <v>-6626.0300000000007</v>
      </c>
      <c r="I2" s="51"/>
      <c r="J2" s="4"/>
      <c r="K2" s="4"/>
      <c r="L2" s="52">
        <f>SUM(M5:M16)*-1</f>
        <v>-5366.3200000000006</v>
      </c>
      <c r="M2" s="52"/>
      <c r="N2" s="52"/>
      <c r="O2" s="5"/>
      <c r="P2" s="53">
        <f>SUM(H2:N2)</f>
        <v>-11992.350000000002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2194.4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-191.56999999999971</v>
      </c>
      <c r="D5" s="19">
        <v>4691.57</v>
      </c>
      <c r="E5" s="47">
        <f>SUM(B10:B16)</f>
        <v>0</v>
      </c>
      <c r="F5" s="20">
        <f>IF(A2&gt;0,A2/2,"R$ 0,00")</f>
        <v>130.82499999999891</v>
      </c>
      <c r="G5" s="15"/>
      <c r="H5" s="38" t="s">
        <v>36</v>
      </c>
      <c r="I5" s="14">
        <v>129.9</v>
      </c>
      <c r="J5" s="15" t="s">
        <v>42</v>
      </c>
      <c r="K5" s="15"/>
      <c r="L5" s="13">
        <v>1</v>
      </c>
      <c r="M5" s="21">
        <v>1270</v>
      </c>
      <c r="N5" s="33" t="s">
        <v>37</v>
      </c>
      <c r="O5" s="15" t="s">
        <v>42</v>
      </c>
      <c r="P5" s="23"/>
      <c r="Q5" s="24">
        <f>SUMIF(J:J,"ok",I:I)+SUMIF(O:O,"ok",M:M)</f>
        <v>11992.350000000002</v>
      </c>
      <c r="R5" s="25">
        <f>P2+Q5</f>
        <v>0</v>
      </c>
      <c r="S5" s="9"/>
    </row>
    <row r="6" spans="1:19" ht="17.25" customHeight="1">
      <c r="A6" s="18" t="s">
        <v>21</v>
      </c>
      <c r="B6" s="19">
        <v>10441.09</v>
      </c>
      <c r="C6" s="19">
        <f>B6-D6</f>
        <v>2878.66</v>
      </c>
      <c r="D6" s="19">
        <v>7562.43</v>
      </c>
      <c r="E6" s="47"/>
      <c r="F6" s="20">
        <f>IF(A2&gt;0,A2/2,"R$ 0,00")</f>
        <v>130.82499999999891</v>
      </c>
      <c r="G6" s="15"/>
      <c r="H6" s="38" t="s">
        <v>22</v>
      </c>
      <c r="I6" s="14">
        <v>132.21</v>
      </c>
      <c r="J6" s="15" t="s">
        <v>42</v>
      </c>
      <c r="K6" s="15"/>
      <c r="L6" s="13">
        <v>13</v>
      </c>
      <c r="M6" s="21">
        <v>2166.67</v>
      </c>
      <c r="N6" s="37" t="s">
        <v>39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12254</v>
      </c>
      <c r="F7" s="46"/>
      <c r="G7" s="15"/>
      <c r="H7" s="38" t="s">
        <v>24</v>
      </c>
      <c r="I7" s="14">
        <v>300</v>
      </c>
      <c r="J7" s="15" t="s">
        <v>42</v>
      </c>
      <c r="K7" s="15"/>
      <c r="L7" s="13">
        <v>4</v>
      </c>
      <c r="M7" s="21">
        <f>372.9+78.83</f>
        <v>451.72999999999996</v>
      </c>
      <c r="N7" s="33" t="s">
        <v>40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84.9</v>
      </c>
      <c r="J8" s="15" t="s">
        <v>42</v>
      </c>
      <c r="K8" s="15"/>
      <c r="L8" s="13">
        <v>4</v>
      </c>
      <c r="M8" s="21">
        <v>73.53</v>
      </c>
      <c r="N8" s="33" t="s">
        <v>45</v>
      </c>
      <c r="O8" s="15" t="s">
        <v>42</v>
      </c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663.95</v>
      </c>
      <c r="J9" s="15" t="s">
        <v>42</v>
      </c>
      <c r="K9" s="15"/>
      <c r="L9" s="13">
        <v>8</v>
      </c>
      <c r="M9" s="21">
        <v>748.42</v>
      </c>
      <c r="N9" s="33" t="s">
        <v>46</v>
      </c>
      <c r="O9" s="15" t="s">
        <v>42</v>
      </c>
      <c r="P9" s="23"/>
      <c r="Q9" s="21"/>
      <c r="R9" s="22"/>
      <c r="S9" s="9"/>
    </row>
    <row r="10" spans="1:19" ht="17.25" customHeight="1">
      <c r="A10" s="33"/>
      <c r="B10" s="39"/>
      <c r="C10" s="28"/>
      <c r="D10" s="28"/>
      <c r="E10" s="28"/>
      <c r="F10" s="28"/>
      <c r="G10" s="15"/>
      <c r="H10" s="38" t="s">
        <v>29</v>
      </c>
      <c r="I10" s="14">
        <v>137.85</v>
      </c>
      <c r="J10" s="15" t="s">
        <v>42</v>
      </c>
      <c r="K10" s="15"/>
      <c r="L10" s="13">
        <v>1</v>
      </c>
      <c r="M10" s="21">
        <v>655.97</v>
      </c>
      <c r="N10" s="33" t="s">
        <v>17</v>
      </c>
      <c r="O10" s="15" t="s">
        <v>42</v>
      </c>
      <c r="P10" s="23"/>
      <c r="Q10" s="21"/>
      <c r="R10" s="22"/>
      <c r="S10" s="9"/>
    </row>
    <row r="11" spans="1:19" ht="17.25" customHeight="1">
      <c r="A11" s="33"/>
      <c r="B11" s="39"/>
      <c r="C11" s="28"/>
      <c r="D11" s="28"/>
      <c r="E11" s="28"/>
      <c r="F11" s="28"/>
      <c r="G11" s="15"/>
      <c r="H11" s="38" t="s">
        <v>32</v>
      </c>
      <c r="I11" s="14">
        <f>SUM(D5:D6)*0.1</f>
        <v>1225.4000000000001</v>
      </c>
      <c r="J11" s="15" t="s">
        <v>42</v>
      </c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33</v>
      </c>
      <c r="I12" s="14">
        <v>300</v>
      </c>
      <c r="J12" s="15" t="s">
        <v>42</v>
      </c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34</v>
      </c>
      <c r="I13" s="14">
        <v>1357.42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35</v>
      </c>
      <c r="I14" s="14">
        <v>100</v>
      </c>
      <c r="J14" s="15" t="s">
        <v>42</v>
      </c>
      <c r="K14" s="15"/>
      <c r="L14" s="13"/>
      <c r="M14" s="21"/>
      <c r="N14" s="19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15"/>
      <c r="I15" s="15"/>
      <c r="J15" s="15"/>
      <c r="K15" s="15"/>
      <c r="L15" s="15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15"/>
      <c r="I16" s="15"/>
      <c r="J16" s="15"/>
      <c r="K16" s="15"/>
      <c r="L16" s="15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38181.079999999994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EA45-D319-4E9F-944B-A5092C1757E7}">
  <dimension ref="A1:S41"/>
  <sheetViews>
    <sheetView showGridLines="0" zoomScaleNormal="100" workbookViewId="0">
      <selection activeCell="Q18" sqref="Q18"/>
    </sheetView>
  </sheetViews>
  <sheetFormatPr defaultColWidth="13.28515625" defaultRowHeight="17.25" customHeight="1"/>
  <cols>
    <col min="1" max="1" width="18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4902.68</v>
      </c>
      <c r="B2" s="50"/>
      <c r="C2" s="50"/>
      <c r="D2" s="50"/>
      <c r="E2" s="50"/>
      <c r="F2" s="42"/>
      <c r="G2" s="4"/>
      <c r="H2" s="51">
        <f>SUM(I4:I16)*-1</f>
        <v>-7290.6500000000005</v>
      </c>
      <c r="I2" s="51"/>
      <c r="J2" s="4"/>
      <c r="K2" s="4"/>
      <c r="L2" s="52">
        <f>SUM(M5:M16)*-1</f>
        <v>-7383.67</v>
      </c>
      <c r="M2" s="52"/>
      <c r="N2" s="52"/>
      <c r="O2" s="5"/>
      <c r="P2" s="53">
        <f>SUM(H2:N2)</f>
        <v>-14674.32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2198.04</v>
      </c>
      <c r="J4" s="15" t="s">
        <v>42</v>
      </c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4770</v>
      </c>
      <c r="C5" s="19">
        <f>B5-D5</f>
        <v>210</v>
      </c>
      <c r="D5" s="19">
        <v>4560</v>
      </c>
      <c r="E5" s="47">
        <f>SUM(B10:B16)</f>
        <v>1652</v>
      </c>
      <c r="F5" s="20">
        <f>IF(A2&gt;0,A2/2,"R$ 0,00")</f>
        <v>2451.34</v>
      </c>
      <c r="G5" s="15"/>
      <c r="H5" s="38" t="s">
        <v>36</v>
      </c>
      <c r="I5" s="14">
        <v>129.9</v>
      </c>
      <c r="J5" s="15" t="s">
        <v>42</v>
      </c>
      <c r="K5" s="15"/>
      <c r="L5" s="13">
        <v>1</v>
      </c>
      <c r="M5" s="21">
        <f>1680</f>
        <v>1680</v>
      </c>
      <c r="N5" s="33" t="s">
        <v>37</v>
      </c>
      <c r="O5" s="15" t="s">
        <v>42</v>
      </c>
      <c r="P5" s="23"/>
      <c r="Q5" s="24">
        <f>SUMIF(J:J,"ok",I:I)+SUMIF(O:O,"ok",M:M)</f>
        <v>14674.32</v>
      </c>
      <c r="R5" s="25">
        <f>P2+Q5</f>
        <v>0</v>
      </c>
      <c r="S5" s="9"/>
    </row>
    <row r="6" spans="1:19" ht="17.25" customHeight="1">
      <c r="A6" s="18" t="s">
        <v>21</v>
      </c>
      <c r="B6" s="19">
        <v>12000</v>
      </c>
      <c r="C6" s="19">
        <f>B6-D6</f>
        <v>-1365</v>
      </c>
      <c r="D6" s="19">
        <v>13365</v>
      </c>
      <c r="E6" s="47"/>
      <c r="F6" s="20">
        <f>IF(A2&gt;0,A2/2,"R$ 0,00")</f>
        <v>2451.34</v>
      </c>
      <c r="G6" s="15"/>
      <c r="H6" s="38" t="s">
        <v>22</v>
      </c>
      <c r="I6" s="14">
        <v>236.3</v>
      </c>
      <c r="J6" s="15" t="s">
        <v>42</v>
      </c>
      <c r="K6" s="15"/>
      <c r="L6" s="13">
        <v>12</v>
      </c>
      <c r="M6" s="21">
        <v>2166.67</v>
      </c>
      <c r="N6" s="37" t="s">
        <v>39</v>
      </c>
      <c r="O6" s="15" t="s">
        <v>42</v>
      </c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19577</v>
      </c>
      <c r="F7" s="46"/>
      <c r="G7" s="15"/>
      <c r="H7" s="38" t="s">
        <v>24</v>
      </c>
      <c r="I7" s="14">
        <v>300</v>
      </c>
      <c r="J7" s="15" t="s">
        <v>42</v>
      </c>
      <c r="K7" s="15"/>
      <c r="L7" s="13">
        <v>3</v>
      </c>
      <c r="M7" s="21">
        <f>272.89+78.2</f>
        <v>351.09</v>
      </c>
      <c r="N7" s="33" t="s">
        <v>40</v>
      </c>
      <c r="O7" s="15" t="s">
        <v>42</v>
      </c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84.9</v>
      </c>
      <c r="J8" s="15" t="s">
        <v>42</v>
      </c>
      <c r="K8" s="15"/>
      <c r="L8" s="13">
        <v>3</v>
      </c>
      <c r="M8" s="21">
        <v>73.53</v>
      </c>
      <c r="N8" s="33" t="s">
        <v>45</v>
      </c>
      <c r="O8" s="15" t="s">
        <v>42</v>
      </c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599.27</v>
      </c>
      <c r="J9" s="15" t="s">
        <v>42</v>
      </c>
      <c r="K9" s="15"/>
      <c r="L9" s="13">
        <v>7</v>
      </c>
      <c r="M9" s="21">
        <f>416.74+276.68</f>
        <v>693.42000000000007</v>
      </c>
      <c r="N9" s="33" t="s">
        <v>46</v>
      </c>
      <c r="O9" s="15" t="s">
        <v>42</v>
      </c>
      <c r="P9" s="23"/>
      <c r="Q9" s="21"/>
      <c r="R9" s="22"/>
      <c r="S9" s="9"/>
    </row>
    <row r="10" spans="1:19" ht="17.25" customHeight="1">
      <c r="A10" s="33" t="s">
        <v>49</v>
      </c>
      <c r="B10" s="39">
        <v>1652</v>
      </c>
      <c r="C10" s="28"/>
      <c r="D10" s="28"/>
      <c r="E10" s="28"/>
      <c r="F10" s="28"/>
      <c r="G10" s="15"/>
      <c r="H10" s="38" t="s">
        <v>29</v>
      </c>
      <c r="I10" s="14">
        <v>192.32</v>
      </c>
      <c r="J10" s="15" t="s">
        <v>42</v>
      </c>
      <c r="K10" s="15"/>
      <c r="L10" s="13">
        <v>1</v>
      </c>
      <c r="M10" s="21">
        <v>1270.1400000000001</v>
      </c>
      <c r="N10" s="33" t="s">
        <v>17</v>
      </c>
      <c r="O10" s="15" t="s">
        <v>42</v>
      </c>
      <c r="P10" s="23"/>
      <c r="Q10" s="21"/>
      <c r="R10" s="22"/>
      <c r="S10" s="9"/>
    </row>
    <row r="11" spans="1:19" ht="17.25" customHeight="1">
      <c r="A11" s="33"/>
      <c r="B11" s="39"/>
      <c r="C11" s="28"/>
      <c r="D11" s="28"/>
      <c r="E11" s="28"/>
      <c r="F11" s="28"/>
      <c r="G11" s="15"/>
      <c r="H11" s="38" t="s">
        <v>32</v>
      </c>
      <c r="I11" s="14">
        <f>SUM(D5:D6)*0.1</f>
        <v>1792.5</v>
      </c>
      <c r="J11" s="15" t="s">
        <v>42</v>
      </c>
      <c r="K11" s="15"/>
      <c r="L11" s="13">
        <v>1</v>
      </c>
      <c r="M11" s="21">
        <v>1000</v>
      </c>
      <c r="N11" s="33" t="s">
        <v>50</v>
      </c>
      <c r="O11" s="29" t="s">
        <v>42</v>
      </c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33</v>
      </c>
      <c r="I12" s="14">
        <v>300</v>
      </c>
      <c r="J12" s="15" t="s">
        <v>42</v>
      </c>
      <c r="K12" s="15"/>
      <c r="L12" s="13">
        <v>1</v>
      </c>
      <c r="M12" s="21">
        <v>148.82</v>
      </c>
      <c r="N12" s="33" t="s">
        <v>51</v>
      </c>
      <c r="O12" s="29" t="s">
        <v>42</v>
      </c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34</v>
      </c>
      <c r="I13" s="14">
        <v>1357.42</v>
      </c>
      <c r="J13" s="15" t="s">
        <v>42</v>
      </c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35</v>
      </c>
      <c r="I14" s="14">
        <v>100</v>
      </c>
      <c r="J14" s="15" t="s">
        <v>42</v>
      </c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15"/>
      <c r="I15" s="15"/>
      <c r="J15" s="15"/>
      <c r="K15" s="15"/>
      <c r="L15" s="15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15"/>
      <c r="I16" s="15"/>
      <c r="J16" s="15"/>
      <c r="K16" s="15"/>
      <c r="L16" s="15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36226.800000000003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7464-7192-41F1-A33E-3B99A45271F9}">
  <dimension ref="A1:S41"/>
  <sheetViews>
    <sheetView showGridLines="0" tabSelected="1" zoomScaleNormal="100" workbookViewId="0">
      <selection activeCell="M11" sqref="M11"/>
    </sheetView>
  </sheetViews>
  <sheetFormatPr defaultColWidth="13.28515625" defaultRowHeight="17.25" customHeight="1"/>
  <cols>
    <col min="1" max="1" width="15.28515625" style="2" bestFit="1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855.03999999999905</v>
      </c>
      <c r="B2" s="50"/>
      <c r="C2" s="50"/>
      <c r="D2" s="50"/>
      <c r="E2" s="50"/>
      <c r="F2" s="42"/>
      <c r="G2" s="4"/>
      <c r="H2" s="51">
        <f>SUM(I4:I16)*-1</f>
        <v>-6759.5400000000009</v>
      </c>
      <c r="I2" s="51"/>
      <c r="J2" s="4"/>
      <c r="K2" s="4"/>
      <c r="L2" s="52">
        <f>SUM(M5:M16)*-1</f>
        <v>-5111.42</v>
      </c>
      <c r="M2" s="52"/>
      <c r="N2" s="52"/>
      <c r="O2" s="5"/>
      <c r="P2" s="53">
        <f>SUM(H2:N2)</f>
        <v>-11870.960000000001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2161.5500000000002</v>
      </c>
      <c r="J4" s="15"/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274</v>
      </c>
      <c r="D5" s="19">
        <v>4226</v>
      </c>
      <c r="E5" s="47">
        <f>SUM(B10:B16)</f>
        <v>0</v>
      </c>
      <c r="F5" s="20">
        <f>IF(A2&gt;0,A2/2,"R$ 0,00")</f>
        <v>427.51999999999953</v>
      </c>
      <c r="G5" s="15"/>
      <c r="H5" s="38" t="s">
        <v>36</v>
      </c>
      <c r="I5" s="14">
        <v>141.29</v>
      </c>
      <c r="J5" s="15"/>
      <c r="K5" s="15"/>
      <c r="L5" s="13">
        <v>11</v>
      </c>
      <c r="M5" s="21">
        <v>2166.67</v>
      </c>
      <c r="N5" s="33" t="s">
        <v>39</v>
      </c>
      <c r="O5" s="15"/>
      <c r="P5" s="23"/>
      <c r="Q5" s="24">
        <f>SUMIF(J:J,"ok",I:I)+SUMIF(O:O,"ok",M:M)</f>
        <v>0</v>
      </c>
      <c r="R5" s="25">
        <f>P2+Q5</f>
        <v>-11870.960000000001</v>
      </c>
      <c r="S5" s="9"/>
    </row>
    <row r="6" spans="1:19" ht="17.25" customHeight="1">
      <c r="A6" s="18" t="s">
        <v>21</v>
      </c>
      <c r="B6" s="19">
        <v>12000</v>
      </c>
      <c r="C6" s="19">
        <f>B6-D6</f>
        <v>3500</v>
      </c>
      <c r="D6" s="19">
        <v>8500</v>
      </c>
      <c r="E6" s="47"/>
      <c r="F6" s="20">
        <f>IF(A2&gt;0,A2/2,"R$ 0,00")</f>
        <v>427.51999999999953</v>
      </c>
      <c r="G6" s="15"/>
      <c r="H6" s="38" t="s">
        <v>22</v>
      </c>
      <c r="I6" s="14">
        <v>216.78</v>
      </c>
      <c r="J6" s="15"/>
      <c r="K6" s="15"/>
      <c r="L6" s="13">
        <v>2</v>
      </c>
      <c r="M6" s="21">
        <f>99.09+78.2</f>
        <v>177.29000000000002</v>
      </c>
      <c r="N6" s="37" t="s">
        <v>40</v>
      </c>
      <c r="O6" s="15"/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12726</v>
      </c>
      <c r="F7" s="46"/>
      <c r="G7" s="15"/>
      <c r="H7" s="38" t="s">
        <v>24</v>
      </c>
      <c r="I7" s="14">
        <v>300</v>
      </c>
      <c r="J7" s="15"/>
      <c r="K7" s="15"/>
      <c r="L7" s="13">
        <v>2</v>
      </c>
      <c r="M7" s="21">
        <v>73.53</v>
      </c>
      <c r="N7" s="33" t="s">
        <v>45</v>
      </c>
      <c r="O7" s="15"/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114.9</v>
      </c>
      <c r="J8" s="15"/>
      <c r="K8" s="15"/>
      <c r="L8" s="13">
        <v>6</v>
      </c>
      <c r="M8" s="21">
        <f>416.74+276.68</f>
        <v>693.42000000000007</v>
      </c>
      <c r="N8" s="33" t="s">
        <v>46</v>
      </c>
      <c r="O8" s="15"/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550</v>
      </c>
      <c r="J9" s="15"/>
      <c r="K9" s="15"/>
      <c r="L9" s="13"/>
      <c r="M9" s="21">
        <v>1000</v>
      </c>
      <c r="N9" s="33" t="s">
        <v>52</v>
      </c>
      <c r="O9" s="15"/>
      <c r="P9" s="23"/>
      <c r="Q9" s="21"/>
      <c r="R9" s="22"/>
      <c r="S9" s="9"/>
    </row>
    <row r="10" spans="1:19" ht="17.25" customHeight="1">
      <c r="A10" s="33"/>
      <c r="B10" s="39"/>
      <c r="C10" s="28"/>
      <c r="D10" s="28"/>
      <c r="E10" s="28"/>
      <c r="F10" s="28"/>
      <c r="G10" s="15"/>
      <c r="H10" s="38" t="s">
        <v>29</v>
      </c>
      <c r="I10" s="14">
        <v>180</v>
      </c>
      <c r="J10" s="15"/>
      <c r="K10" s="15"/>
      <c r="L10" s="13"/>
      <c r="M10" s="21">
        <v>1000.51</v>
      </c>
      <c r="N10" s="33" t="s">
        <v>17</v>
      </c>
      <c r="O10" s="15"/>
      <c r="P10" s="23"/>
      <c r="Q10" s="21"/>
      <c r="R10" s="22"/>
      <c r="S10" s="9"/>
    </row>
    <row r="11" spans="1:19" ht="17.25" customHeight="1">
      <c r="A11" s="33"/>
      <c r="B11" s="39"/>
      <c r="C11" s="28"/>
      <c r="D11" s="28"/>
      <c r="E11" s="28"/>
      <c r="F11" s="28"/>
      <c r="G11" s="15"/>
      <c r="H11" s="38" t="s">
        <v>31</v>
      </c>
      <c r="I11" s="14">
        <v>65</v>
      </c>
      <c r="J11" s="15"/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32</v>
      </c>
      <c r="I12" s="14">
        <f>SUM(D5:D6)*0.1</f>
        <v>1272.6000000000001</v>
      </c>
      <c r="J12" s="15"/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33</v>
      </c>
      <c r="I13" s="14">
        <v>300</v>
      </c>
      <c r="J13" s="15"/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34</v>
      </c>
      <c r="I14" s="14">
        <v>1357.42</v>
      </c>
      <c r="J14" s="15"/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38" t="s">
        <v>35</v>
      </c>
      <c r="I15" s="14">
        <v>100</v>
      </c>
      <c r="J15" s="15"/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13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23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28495.530000000006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F29C-F952-4923-B67A-74E9AABADD5A}">
  <dimension ref="A1:S41"/>
  <sheetViews>
    <sheetView showGridLines="0" zoomScaleNormal="100" workbookViewId="0">
      <selection activeCell="G22" sqref="G22"/>
    </sheetView>
  </sheetViews>
  <sheetFormatPr defaultColWidth="13.28515625" defaultRowHeight="17.25" customHeight="1"/>
  <cols>
    <col min="1" max="1" width="18.140625" style="2" customWidth="1"/>
    <col min="2" max="2" width="13.85546875" style="2" customWidth="1"/>
    <col min="3" max="3" width="15" style="2" bestFit="1" customWidth="1"/>
    <col min="4" max="4" width="15.85546875" style="2" customWidth="1"/>
    <col min="5" max="5" width="17.5703125" style="2" bestFit="1" customWidth="1"/>
    <col min="6" max="6" width="17.28515625" style="2" customWidth="1"/>
    <col min="7" max="7" width="13.28515625" style="2" customWidth="1"/>
    <col min="8" max="8" width="21.42578125" style="2" bestFit="1" customWidth="1"/>
    <col min="9" max="9" width="14.28515625" style="2" bestFit="1" customWidth="1"/>
    <col min="10" max="10" width="10.7109375" style="2" bestFit="1" customWidth="1"/>
    <col min="11" max="12" width="9.140625" style="2" bestFit="1" customWidth="1"/>
    <col min="13" max="13" width="20.28515625" style="2" bestFit="1" customWidth="1"/>
    <col min="14" max="14" width="37.28515625" style="2" customWidth="1"/>
    <col min="15" max="16384" width="13.28515625" style="2"/>
  </cols>
  <sheetData>
    <row r="1" spans="1:19" ht="32.25" customHeight="1">
      <c r="A1" s="49" t="s">
        <v>0</v>
      </c>
      <c r="B1" s="49"/>
      <c r="C1" s="49"/>
      <c r="D1" s="49"/>
      <c r="E1" s="49"/>
      <c r="F1" s="41"/>
      <c r="G1" s="3"/>
      <c r="H1" s="49" t="s">
        <v>1</v>
      </c>
      <c r="I1" s="49"/>
      <c r="J1" s="3"/>
      <c r="K1" s="3"/>
      <c r="L1" s="49" t="s">
        <v>2</v>
      </c>
      <c r="M1" s="49"/>
      <c r="N1" s="49"/>
      <c r="O1" s="3"/>
      <c r="P1" s="49" t="s">
        <v>3</v>
      </c>
      <c r="Q1" s="49"/>
      <c r="R1" s="49"/>
      <c r="S1" s="3"/>
    </row>
    <row r="2" spans="1:19" ht="17.25" customHeight="1">
      <c r="A2" s="50">
        <f>E7+P2</f>
        <v>6484.8399999999983</v>
      </c>
      <c r="B2" s="50"/>
      <c r="C2" s="50"/>
      <c r="D2" s="50"/>
      <c r="E2" s="50"/>
      <c r="F2" s="42"/>
      <c r="G2" s="4"/>
      <c r="H2" s="51">
        <f>SUM(I4:I16)*-1</f>
        <v>-6759.5400000000009</v>
      </c>
      <c r="I2" s="51"/>
      <c r="J2" s="4"/>
      <c r="K2" s="4"/>
      <c r="L2" s="52">
        <f>SUM(M5:M16)*-1</f>
        <v>-4133.6200000000008</v>
      </c>
      <c r="M2" s="52"/>
      <c r="N2" s="52"/>
      <c r="O2" s="5"/>
      <c r="P2" s="53">
        <f>SUM(H2:N2)</f>
        <v>-10893.160000000002</v>
      </c>
      <c r="Q2" s="53"/>
      <c r="R2" s="53"/>
      <c r="S2" s="4"/>
    </row>
    <row r="3" spans="1:19" ht="17.25" customHeight="1">
      <c r="A3" s="42"/>
      <c r="B3" s="42"/>
      <c r="C3" s="42"/>
      <c r="D3" s="42"/>
      <c r="E3" s="42"/>
      <c r="F3" s="42"/>
      <c r="G3" s="4"/>
      <c r="H3" s="43"/>
      <c r="I3" s="43"/>
      <c r="J3" s="6" t="s">
        <v>4</v>
      </c>
      <c r="K3" s="4"/>
      <c r="L3" s="44"/>
      <c r="M3" s="44"/>
      <c r="N3" s="44"/>
      <c r="O3" s="45"/>
      <c r="P3" s="45"/>
      <c r="Q3" s="45"/>
      <c r="R3" s="45"/>
      <c r="S3" s="4"/>
    </row>
    <row r="4" spans="1:19" ht="17.25" customHeight="1">
      <c r="A4" s="13"/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/>
      <c r="H4" s="38" t="s">
        <v>10</v>
      </c>
      <c r="I4" s="14">
        <v>2161.5500000000002</v>
      </c>
      <c r="J4" s="15"/>
      <c r="K4" s="13"/>
      <c r="L4" s="13" t="s">
        <v>12</v>
      </c>
      <c r="M4" s="13" t="s">
        <v>13</v>
      </c>
      <c r="N4" s="13" t="s">
        <v>14</v>
      </c>
      <c r="O4" s="13" t="s">
        <v>4</v>
      </c>
      <c r="P4" s="13"/>
      <c r="Q4" s="16" t="s">
        <v>15</v>
      </c>
      <c r="R4" s="17" t="s">
        <v>16</v>
      </c>
      <c r="S4" s="6"/>
    </row>
    <row r="5" spans="1:19" ht="17.25" customHeight="1">
      <c r="A5" s="18" t="s">
        <v>17</v>
      </c>
      <c r="B5" s="19">
        <v>4500</v>
      </c>
      <c r="C5" s="19">
        <f>B5-D5</f>
        <v>274</v>
      </c>
      <c r="D5" s="19">
        <v>4226</v>
      </c>
      <c r="E5" s="47">
        <f>SUM(B10:B16)</f>
        <v>4652</v>
      </c>
      <c r="F5" s="20">
        <f>IF(A2&gt;0,A2/2,"R$ 0,00")</f>
        <v>3242.4199999999992</v>
      </c>
      <c r="G5" s="15"/>
      <c r="H5" s="38" t="s">
        <v>36</v>
      </c>
      <c r="I5" s="14">
        <v>141.29</v>
      </c>
      <c r="J5" s="15"/>
      <c r="K5" s="15"/>
      <c r="L5" s="13">
        <v>10</v>
      </c>
      <c r="M5" s="21">
        <v>2166.67</v>
      </c>
      <c r="N5" s="33" t="s">
        <v>39</v>
      </c>
      <c r="O5" s="15"/>
      <c r="P5" s="23"/>
      <c r="Q5" s="24">
        <f>SUMIF(J:J,"ok",I:I)+SUMIF(O:O,"ok",M:M)</f>
        <v>0</v>
      </c>
      <c r="R5" s="25">
        <f>P2+Q5</f>
        <v>-10893.160000000002</v>
      </c>
      <c r="S5" s="9"/>
    </row>
    <row r="6" spans="1:19" ht="17.25" customHeight="1">
      <c r="A6" s="18" t="s">
        <v>21</v>
      </c>
      <c r="B6" s="19">
        <v>10441</v>
      </c>
      <c r="C6" s="19">
        <f>B6-D6</f>
        <v>1941</v>
      </c>
      <c r="D6" s="19">
        <v>8500</v>
      </c>
      <c r="E6" s="47"/>
      <c r="F6" s="20">
        <f>IF(A2&gt;0,A2/2,"R$ 0,00")</f>
        <v>3242.4199999999992</v>
      </c>
      <c r="G6" s="15"/>
      <c r="H6" s="38" t="s">
        <v>22</v>
      </c>
      <c r="I6" s="14">
        <v>216.78</v>
      </c>
      <c r="J6" s="15"/>
      <c r="K6" s="15"/>
      <c r="L6" s="13">
        <v>1</v>
      </c>
      <c r="M6" s="21">
        <v>150</v>
      </c>
      <c r="N6" s="37" t="s">
        <v>40</v>
      </c>
      <c r="O6" s="15"/>
      <c r="P6" s="23"/>
      <c r="Q6" s="21"/>
      <c r="R6" s="22"/>
      <c r="S6" s="9"/>
    </row>
    <row r="7" spans="1:19" ht="17.25" customHeight="1">
      <c r="A7" s="18" t="s">
        <v>3</v>
      </c>
      <c r="B7" s="26"/>
      <c r="C7" s="26"/>
      <c r="D7" s="27"/>
      <c r="E7" s="19">
        <f>D5+D6+E5</f>
        <v>17378</v>
      </c>
      <c r="F7" s="46"/>
      <c r="G7" s="15"/>
      <c r="H7" s="38" t="s">
        <v>24</v>
      </c>
      <c r="I7" s="14">
        <v>300</v>
      </c>
      <c r="J7" s="15"/>
      <c r="K7" s="15"/>
      <c r="L7" s="13">
        <v>1</v>
      </c>
      <c r="M7" s="21">
        <v>73.53</v>
      </c>
      <c r="N7" s="33" t="s">
        <v>45</v>
      </c>
      <c r="O7" s="15"/>
      <c r="P7" s="23"/>
      <c r="Q7" s="21"/>
      <c r="R7" s="22"/>
      <c r="S7" s="9"/>
    </row>
    <row r="8" spans="1:19" ht="17.25" customHeight="1">
      <c r="A8" s="18"/>
      <c r="B8" s="26"/>
      <c r="C8" s="26"/>
      <c r="D8" s="26"/>
      <c r="E8" s="19"/>
      <c r="F8" s="28"/>
      <c r="G8" s="15"/>
      <c r="H8" s="38" t="s">
        <v>26</v>
      </c>
      <c r="I8" s="14">
        <v>114.9</v>
      </c>
      <c r="J8" s="15"/>
      <c r="K8" s="15"/>
      <c r="L8" s="13">
        <v>5</v>
      </c>
      <c r="M8" s="21">
        <f>416.74+276.68</f>
        <v>693.42000000000007</v>
      </c>
      <c r="N8" s="33" t="s">
        <v>46</v>
      </c>
      <c r="O8" s="15"/>
      <c r="P8" s="23"/>
      <c r="Q8" s="21"/>
      <c r="R8" s="22"/>
      <c r="S8" s="9"/>
    </row>
    <row r="9" spans="1:19" ht="17.25" customHeight="1">
      <c r="A9" s="40" t="s">
        <v>8</v>
      </c>
      <c r="B9" s="26"/>
      <c r="C9" s="26"/>
      <c r="D9" s="26"/>
      <c r="E9" s="26"/>
      <c r="F9" s="28"/>
      <c r="G9" s="15"/>
      <c r="H9" s="38" t="s">
        <v>27</v>
      </c>
      <c r="I9" s="14">
        <v>550</v>
      </c>
      <c r="J9" s="15"/>
      <c r="K9" s="15"/>
      <c r="L9" s="13"/>
      <c r="M9" s="21">
        <v>350</v>
      </c>
      <c r="N9" s="33" t="s">
        <v>17</v>
      </c>
      <c r="O9" s="15"/>
      <c r="P9" s="23"/>
      <c r="Q9" s="21"/>
      <c r="R9" s="22"/>
      <c r="S9" s="9"/>
    </row>
    <row r="10" spans="1:19" ht="17.25" customHeight="1">
      <c r="A10" s="33" t="s">
        <v>53</v>
      </c>
      <c r="B10" s="39">
        <v>1652</v>
      </c>
      <c r="C10" s="28"/>
      <c r="D10" s="28"/>
      <c r="E10" s="28"/>
      <c r="F10" s="28"/>
      <c r="G10" s="15"/>
      <c r="H10" s="38" t="s">
        <v>29</v>
      </c>
      <c r="I10" s="14">
        <v>180</v>
      </c>
      <c r="J10" s="15"/>
      <c r="K10" s="15"/>
      <c r="L10" s="13"/>
      <c r="M10" s="21">
        <v>700</v>
      </c>
      <c r="N10" s="33" t="s">
        <v>37</v>
      </c>
      <c r="O10" s="15"/>
      <c r="P10" s="23"/>
      <c r="Q10" s="21"/>
      <c r="R10" s="22"/>
      <c r="S10" s="9"/>
    </row>
    <row r="11" spans="1:19" ht="17.25" customHeight="1">
      <c r="A11" s="37" t="s">
        <v>54</v>
      </c>
      <c r="B11" s="39">
        <v>3000</v>
      </c>
      <c r="C11" s="28"/>
      <c r="D11" s="28"/>
      <c r="E11" s="28"/>
      <c r="F11" s="28"/>
      <c r="G11" s="15"/>
      <c r="H11" s="38" t="s">
        <v>31</v>
      </c>
      <c r="I11" s="14">
        <v>65</v>
      </c>
      <c r="J11" s="15"/>
      <c r="K11" s="15"/>
      <c r="L11" s="13"/>
      <c r="M11" s="21"/>
      <c r="N11" s="33"/>
      <c r="O11" s="29"/>
      <c r="P11" s="23"/>
      <c r="Q11" s="21"/>
      <c r="R11" s="22"/>
      <c r="S11" s="9"/>
    </row>
    <row r="12" spans="1:19" ht="17.25" customHeight="1">
      <c r="A12" s="33"/>
      <c r="B12" s="28"/>
      <c r="C12" s="28"/>
      <c r="D12" s="28"/>
      <c r="E12" s="28"/>
      <c r="F12" s="28"/>
      <c r="G12" s="15"/>
      <c r="H12" s="38" t="s">
        <v>32</v>
      </c>
      <c r="I12" s="14">
        <f>SUM(D5:D6)*0.1</f>
        <v>1272.6000000000001</v>
      </c>
      <c r="J12" s="15"/>
      <c r="K12" s="15"/>
      <c r="L12" s="13"/>
      <c r="M12" s="21"/>
      <c r="N12" s="33"/>
      <c r="O12" s="29"/>
      <c r="P12" s="23"/>
      <c r="Q12" s="21"/>
      <c r="R12" s="22"/>
      <c r="S12" s="9"/>
    </row>
    <row r="13" spans="1:19" ht="17.25" customHeight="1">
      <c r="A13" s="33"/>
      <c r="B13" s="28"/>
      <c r="C13" s="28"/>
      <c r="D13" s="28"/>
      <c r="E13" s="28"/>
      <c r="F13" s="28"/>
      <c r="G13" s="15"/>
      <c r="H13" s="38" t="s">
        <v>33</v>
      </c>
      <c r="I13" s="14">
        <v>300</v>
      </c>
      <c r="J13" s="15"/>
      <c r="K13" s="15"/>
      <c r="L13" s="13"/>
      <c r="M13" s="21"/>
      <c r="N13" s="33"/>
      <c r="O13" s="29"/>
      <c r="P13" s="23"/>
      <c r="Q13" s="21"/>
      <c r="R13" s="22"/>
      <c r="S13" s="9"/>
    </row>
    <row r="14" spans="1:19" ht="17.25" customHeight="1">
      <c r="A14" s="33"/>
      <c r="B14" s="28"/>
      <c r="C14" s="28"/>
      <c r="D14" s="28"/>
      <c r="E14" s="26"/>
      <c r="F14" s="28"/>
      <c r="G14" s="15"/>
      <c r="H14" s="38" t="s">
        <v>34</v>
      </c>
      <c r="I14" s="14">
        <v>1357.42</v>
      </c>
      <c r="J14" s="15"/>
      <c r="K14" s="15"/>
      <c r="L14" s="13"/>
      <c r="M14" s="21"/>
      <c r="N14" s="33"/>
      <c r="O14" s="23"/>
      <c r="P14" s="23"/>
      <c r="Q14" s="21"/>
      <c r="R14" s="22"/>
      <c r="S14" s="9"/>
    </row>
    <row r="15" spans="1:19" ht="17.25" customHeight="1">
      <c r="A15" s="33"/>
      <c r="B15" s="28"/>
      <c r="C15" s="28"/>
      <c r="D15" s="28"/>
      <c r="E15" s="26"/>
      <c r="F15" s="28"/>
      <c r="G15" s="15"/>
      <c r="H15" s="38" t="s">
        <v>35</v>
      </c>
      <c r="I15" s="14">
        <v>100</v>
      </c>
      <c r="J15" s="15"/>
      <c r="K15" s="15"/>
      <c r="L15" s="13"/>
      <c r="M15" s="21"/>
      <c r="N15" s="21"/>
      <c r="O15" s="23"/>
      <c r="P15" s="23"/>
      <c r="Q15" s="21"/>
      <c r="R15" s="22"/>
      <c r="S15" s="9"/>
    </row>
    <row r="16" spans="1:19" ht="17.25" customHeight="1">
      <c r="A16" s="28"/>
      <c r="B16" s="28"/>
      <c r="C16" s="28"/>
      <c r="D16" s="28"/>
      <c r="E16" s="26"/>
      <c r="F16" s="28"/>
      <c r="G16" s="15"/>
      <c r="H16" s="34"/>
      <c r="I16" s="19"/>
      <c r="J16" s="15"/>
      <c r="K16" s="15"/>
      <c r="L16" s="13"/>
      <c r="M16" s="21"/>
      <c r="N16" s="22"/>
      <c r="O16" s="23"/>
      <c r="P16" s="23"/>
      <c r="Q16" s="21"/>
      <c r="R16" s="22"/>
      <c r="S16" s="9"/>
    </row>
    <row r="17" spans="1:19" ht="17.25" customHeight="1">
      <c r="A17" s="48"/>
      <c r="B17" s="48"/>
      <c r="C17" s="48"/>
      <c r="D17" s="48"/>
      <c r="E17" s="26"/>
      <c r="F17" s="28"/>
      <c r="G17" s="15"/>
      <c r="H17" s="34"/>
      <c r="I17" s="19"/>
      <c r="J17" s="15"/>
      <c r="K17" s="15"/>
      <c r="L17" s="46"/>
      <c r="M17" s="32"/>
      <c r="N17" s="32"/>
      <c r="O17" s="32"/>
      <c r="P17" s="23"/>
      <c r="Q17" s="21"/>
      <c r="R17" s="22"/>
      <c r="S17" s="9"/>
    </row>
    <row r="18" spans="1:19" ht="17.25" customHeight="1">
      <c r="A18" s="13"/>
      <c r="B18" s="13"/>
      <c r="C18" s="13"/>
      <c r="D18" s="46"/>
      <c r="E18" s="26"/>
      <c r="F18" s="28"/>
      <c r="G18" s="15"/>
      <c r="H18" s="34"/>
      <c r="I18" s="14"/>
      <c r="J18" s="15"/>
      <c r="K18" s="15"/>
      <c r="L18" s="13"/>
      <c r="M18" s="13"/>
      <c r="N18" s="13"/>
      <c r="O18" s="13"/>
      <c r="P18" s="23"/>
      <c r="Q18" s="21"/>
      <c r="R18" s="22"/>
      <c r="S18" s="9"/>
    </row>
    <row r="19" spans="1:19" ht="17.25" customHeight="1">
      <c r="A19" s="13"/>
      <c r="B19" s="21"/>
      <c r="C19" s="22"/>
      <c r="D19" s="23"/>
      <c r="E19" s="26"/>
      <c r="F19" s="28"/>
      <c r="G19" s="15"/>
      <c r="H19" s="34"/>
      <c r="I19" s="14"/>
      <c r="J19" s="15"/>
      <c r="K19" s="15"/>
      <c r="L19" s="13"/>
      <c r="M19" s="21"/>
      <c r="N19" s="22"/>
      <c r="O19" s="23"/>
      <c r="P19" s="23"/>
      <c r="Q19" s="21"/>
      <c r="R19" s="22"/>
      <c r="S19" s="9"/>
    </row>
    <row r="20" spans="1:19" ht="17.25" customHeight="1">
      <c r="A20" s="13"/>
      <c r="B20" s="21"/>
      <c r="C20" s="22"/>
      <c r="D20" s="30"/>
      <c r="E20" s="26"/>
      <c r="F20" s="28"/>
      <c r="G20" s="15"/>
      <c r="H20" s="34"/>
      <c r="I20" s="14"/>
      <c r="J20" s="15"/>
      <c r="K20" s="15"/>
      <c r="L20" s="13"/>
      <c r="M20" s="21"/>
      <c r="N20" s="22"/>
      <c r="O20" s="23"/>
      <c r="P20" s="23"/>
      <c r="Q20" s="21"/>
      <c r="R20" s="22"/>
      <c r="S20" s="9"/>
    </row>
    <row r="21" spans="1:19" ht="17.25" customHeight="1">
      <c r="A21" s="13"/>
      <c r="B21" s="21"/>
      <c r="C21" s="22"/>
      <c r="D21" s="23"/>
      <c r="E21" s="26"/>
      <c r="F21" s="28"/>
      <c r="G21" s="15"/>
      <c r="H21" s="34"/>
      <c r="I21" s="14"/>
      <c r="J21" s="28"/>
      <c r="K21" s="15"/>
      <c r="L21" s="13"/>
      <c r="M21" s="21"/>
      <c r="N21" s="22"/>
      <c r="O21" s="23"/>
      <c r="P21" s="23"/>
      <c r="Q21" s="21"/>
      <c r="R21" s="22"/>
      <c r="S21" s="9"/>
    </row>
    <row r="22" spans="1:19" ht="17.25" customHeight="1">
      <c r="A22" s="13"/>
      <c r="B22" s="21"/>
      <c r="C22" s="22"/>
      <c r="D22" s="23"/>
      <c r="E22" s="28"/>
      <c r="F22" s="28"/>
      <c r="G22" s="15"/>
      <c r="H22" s="34"/>
      <c r="I22" s="14"/>
      <c r="J22" s="28"/>
      <c r="K22" s="15"/>
      <c r="L22" s="13" t="s">
        <v>3</v>
      </c>
      <c r="M22" s="25">
        <f>SUMPRODUCT(L5:L15,M5:M15)</f>
        <v>25357.33</v>
      </c>
      <c r="N22" s="22"/>
      <c r="O22" s="23"/>
      <c r="P22" s="23"/>
      <c r="Q22" s="21"/>
      <c r="R22" s="22"/>
      <c r="S22" s="9"/>
    </row>
    <row r="23" spans="1:19" ht="17.25" customHeight="1">
      <c r="A23" s="13"/>
      <c r="B23" s="28"/>
      <c r="C23" s="28"/>
      <c r="D23" s="28"/>
      <c r="E23" s="28"/>
      <c r="F23" s="28"/>
      <c r="G23" s="15"/>
      <c r="H23" s="34"/>
      <c r="I23" s="14"/>
      <c r="J23" s="28"/>
      <c r="K23" s="15"/>
      <c r="L23" s="13"/>
      <c r="M23" s="31"/>
      <c r="N23" s="22"/>
      <c r="O23" s="23"/>
      <c r="P23" s="23"/>
      <c r="Q23" s="21"/>
      <c r="R23" s="22"/>
      <c r="S23" s="9"/>
    </row>
    <row r="24" spans="1:19" ht="17.25" customHeight="1">
      <c r="A24" s="13"/>
      <c r="B24" s="28"/>
      <c r="C24" s="28"/>
      <c r="D24" s="28"/>
      <c r="E24" s="28"/>
      <c r="F24" s="28"/>
      <c r="G24" s="15"/>
      <c r="H24" s="34"/>
      <c r="I24" s="14"/>
      <c r="J24" s="15"/>
      <c r="K24" s="15"/>
      <c r="L24" s="13"/>
      <c r="M24" s="21"/>
      <c r="N24" s="22"/>
      <c r="O24" s="30"/>
      <c r="P24" s="23"/>
      <c r="Q24" s="21"/>
      <c r="R24" s="22"/>
      <c r="S24" s="9"/>
    </row>
    <row r="25" spans="1:19" ht="17.25" customHeight="1">
      <c r="A25" s="13"/>
      <c r="B25" s="28"/>
      <c r="C25" s="28"/>
      <c r="D25" s="28"/>
      <c r="E25" s="28"/>
      <c r="F25" s="28"/>
      <c r="G25" s="15"/>
      <c r="H25" s="34"/>
      <c r="I25" s="14"/>
      <c r="J25" s="15"/>
      <c r="K25" s="15"/>
      <c r="L25" s="13"/>
      <c r="M25" s="21"/>
      <c r="N25" s="22"/>
      <c r="O25" s="23"/>
      <c r="P25" s="23"/>
      <c r="Q25" s="21"/>
      <c r="R25" s="22"/>
      <c r="S25" s="9"/>
    </row>
    <row r="26" spans="1:19" ht="17.25" customHeight="1">
      <c r="A26" s="13"/>
      <c r="B26" s="28"/>
      <c r="C26" s="28"/>
      <c r="D26" s="28"/>
      <c r="E26" s="28"/>
      <c r="F26" s="28"/>
      <c r="G26" s="15"/>
      <c r="H26" s="34"/>
      <c r="I26" s="14"/>
      <c r="J26" s="15"/>
      <c r="K26" s="15"/>
      <c r="L26" s="13"/>
      <c r="M26" s="21"/>
      <c r="N26" s="22"/>
      <c r="O26" s="30"/>
      <c r="P26" s="23"/>
      <c r="Q26" s="21"/>
      <c r="R26" s="22"/>
      <c r="S26" s="9"/>
    </row>
    <row r="27" spans="1:19" ht="17.25" customHeight="1">
      <c r="A27" s="46"/>
      <c r="B27" s="25"/>
      <c r="C27" s="28"/>
      <c r="D27" s="28"/>
      <c r="E27" s="28"/>
      <c r="F27" s="28"/>
      <c r="G27" s="15"/>
      <c r="H27" s="34"/>
      <c r="I27" s="14"/>
      <c r="J27" s="15"/>
      <c r="K27" s="15"/>
      <c r="L27" s="13"/>
      <c r="M27" s="21"/>
      <c r="N27" s="22"/>
      <c r="O27" s="23"/>
      <c r="P27" s="23"/>
      <c r="Q27" s="21"/>
      <c r="R27" s="22"/>
      <c r="S27" s="9"/>
    </row>
    <row r="28" spans="1:19" ht="17.25" customHeight="1">
      <c r="A28" s="46"/>
      <c r="B28" s="25"/>
      <c r="C28" s="28"/>
      <c r="D28" s="28"/>
      <c r="E28" s="28"/>
      <c r="F28" s="28"/>
      <c r="G28" s="15"/>
      <c r="H28" s="34"/>
      <c r="I28" s="14"/>
      <c r="J28" s="15"/>
      <c r="K28" s="15"/>
      <c r="L28" s="13"/>
      <c r="M28" s="21"/>
      <c r="N28" s="22"/>
      <c r="O28" s="23"/>
      <c r="P28" s="23"/>
      <c r="Q28" s="21"/>
      <c r="R28" s="22"/>
      <c r="S28" s="9"/>
    </row>
    <row r="29" spans="1:19" ht="17.25" customHeight="1">
      <c r="A29" s="15"/>
      <c r="B29" s="28"/>
      <c r="C29" s="15"/>
      <c r="D29" s="15"/>
      <c r="E29" s="15"/>
      <c r="F29" s="15"/>
      <c r="G29" s="15"/>
      <c r="H29" s="34"/>
      <c r="I29" s="14"/>
      <c r="J29" s="15"/>
      <c r="K29" s="15"/>
      <c r="L29" s="13"/>
      <c r="M29" s="21"/>
      <c r="N29" s="22"/>
      <c r="O29" s="23"/>
      <c r="P29" s="23"/>
      <c r="Q29" s="21"/>
      <c r="R29" s="22"/>
      <c r="S29" s="9"/>
    </row>
    <row r="30" spans="1:19" ht="17.25" customHeight="1">
      <c r="A30" s="13"/>
      <c r="B30" s="21"/>
      <c r="C30" s="33"/>
      <c r="D30" s="15"/>
      <c r="E30" s="15"/>
      <c r="F30" s="15"/>
      <c r="G30" s="15"/>
      <c r="H30" s="34"/>
      <c r="I30" s="14"/>
      <c r="J30" s="15"/>
      <c r="K30" s="15"/>
      <c r="L30" s="13"/>
      <c r="M30" s="21"/>
      <c r="N30" s="22"/>
      <c r="O30" s="23"/>
      <c r="P30" s="23"/>
      <c r="Q30" s="21"/>
      <c r="R30" s="22"/>
      <c r="S30" s="9"/>
    </row>
    <row r="31" spans="1:19" ht="17.25" customHeight="1">
      <c r="A31" s="9"/>
      <c r="B31" s="1"/>
      <c r="C31" s="9"/>
      <c r="D31" s="9"/>
      <c r="E31" s="9"/>
      <c r="F31" s="9"/>
      <c r="G31" s="9"/>
      <c r="H31" s="35"/>
      <c r="I31" s="8"/>
      <c r="J31" s="9"/>
      <c r="K31" s="9"/>
      <c r="L31" s="6"/>
      <c r="M31" s="10"/>
      <c r="N31" s="11"/>
      <c r="O31" s="12"/>
      <c r="P31" s="12"/>
      <c r="Q31" s="10"/>
      <c r="R31" s="11"/>
      <c r="S31" s="9"/>
    </row>
    <row r="32" spans="1:19" ht="17.25" customHeight="1">
      <c r="A32" s="9"/>
      <c r="B32" s="1"/>
      <c r="C32" s="9"/>
      <c r="D32" s="9"/>
      <c r="E32" s="9"/>
      <c r="F32" s="9"/>
      <c r="G32" s="9"/>
      <c r="H32" s="35"/>
      <c r="I32" s="8"/>
      <c r="J32" s="9"/>
      <c r="K32" s="9"/>
      <c r="L32" s="12"/>
      <c r="M32" s="10"/>
      <c r="N32" s="11"/>
      <c r="O32" s="12"/>
      <c r="P32" s="12"/>
      <c r="Q32" s="10"/>
      <c r="R32" s="11"/>
      <c r="S32" s="9"/>
    </row>
    <row r="33" spans="1:19" ht="17.25" customHeight="1">
      <c r="A33" s="9"/>
      <c r="B33" s="1"/>
      <c r="C33" s="9"/>
      <c r="D33" s="9"/>
      <c r="E33" s="9"/>
      <c r="F33" s="9"/>
      <c r="G33" s="9"/>
      <c r="H33" s="35"/>
      <c r="I33" s="8"/>
      <c r="J33" s="9"/>
      <c r="K33" s="9"/>
      <c r="L33" s="12"/>
      <c r="M33" s="10"/>
      <c r="N33" s="11"/>
      <c r="O33" s="12"/>
      <c r="P33" s="12"/>
      <c r="Q33" s="10"/>
      <c r="R33" s="11"/>
      <c r="S33" s="9"/>
    </row>
    <row r="34" spans="1:19" ht="17.25" customHeight="1">
      <c r="A34" s="9"/>
      <c r="B34" s="1"/>
      <c r="C34" s="9"/>
      <c r="D34" s="9"/>
      <c r="E34" s="9"/>
      <c r="F34" s="9"/>
      <c r="G34" s="9"/>
      <c r="H34" s="35"/>
      <c r="I34" s="8"/>
      <c r="J34" s="9"/>
      <c r="K34" s="9"/>
      <c r="L34" s="12"/>
      <c r="M34" s="10"/>
      <c r="N34" s="11"/>
      <c r="O34" s="12"/>
      <c r="P34" s="12"/>
      <c r="Q34" s="10"/>
      <c r="R34" s="11"/>
      <c r="S34" s="9"/>
    </row>
    <row r="35" spans="1:19" ht="17.25" customHeight="1">
      <c r="A35" s="9"/>
      <c r="B35" s="1"/>
      <c r="C35" s="9"/>
      <c r="D35" s="9"/>
      <c r="E35" s="9"/>
      <c r="F35" s="9"/>
      <c r="G35" s="9"/>
      <c r="H35" s="35"/>
      <c r="I35" s="8"/>
      <c r="J35" s="9"/>
      <c r="K35" s="9"/>
      <c r="L35" s="12"/>
      <c r="M35" s="10"/>
      <c r="N35" s="11"/>
      <c r="O35" s="12"/>
      <c r="P35" s="12"/>
      <c r="Q35" s="10"/>
      <c r="R35" s="11"/>
      <c r="S35" s="9"/>
    </row>
    <row r="36" spans="1:19" ht="17.25" customHeight="1">
      <c r="A36" s="9"/>
      <c r="B36" s="1"/>
      <c r="C36" s="9"/>
      <c r="D36" s="9"/>
      <c r="E36" s="9"/>
      <c r="F36" s="9"/>
      <c r="G36" s="9"/>
      <c r="H36" s="35"/>
      <c r="I36" s="8"/>
      <c r="J36" s="9"/>
      <c r="K36" s="9"/>
      <c r="L36" s="12"/>
      <c r="M36" s="10"/>
      <c r="N36" s="11"/>
      <c r="O36" s="12"/>
      <c r="P36" s="12"/>
      <c r="Q36" s="10"/>
      <c r="R36" s="11"/>
      <c r="S36" s="9"/>
    </row>
    <row r="37" spans="1:19" ht="17.25" customHeight="1">
      <c r="A37" s="9"/>
      <c r="B37" s="1"/>
      <c r="C37" s="9"/>
      <c r="D37" s="9"/>
      <c r="E37" s="9"/>
      <c r="F37" s="9"/>
      <c r="G37" s="9"/>
      <c r="H37" s="35"/>
      <c r="I37" s="8"/>
      <c r="J37" s="9"/>
      <c r="K37" s="9"/>
      <c r="L37" s="12"/>
      <c r="M37" s="10"/>
      <c r="N37" s="11"/>
      <c r="O37" s="12"/>
      <c r="P37" s="12"/>
      <c r="Q37" s="10"/>
      <c r="R37" s="11"/>
      <c r="S37" s="9"/>
    </row>
    <row r="38" spans="1:19" ht="17.25" customHeight="1">
      <c r="A38" s="9"/>
      <c r="B38" s="1"/>
      <c r="C38" s="9"/>
      <c r="D38" s="9"/>
      <c r="E38" s="9"/>
      <c r="F38" s="9"/>
      <c r="G38" s="9"/>
      <c r="H38" s="7"/>
      <c r="I38" s="8"/>
      <c r="J38" s="9"/>
      <c r="K38" s="9"/>
      <c r="L38" s="12"/>
      <c r="M38" s="10"/>
      <c r="N38" s="11"/>
      <c r="O38" s="12"/>
      <c r="P38" s="12"/>
      <c r="Q38" s="10"/>
      <c r="R38" s="11"/>
      <c r="S38" s="9"/>
    </row>
    <row r="39" spans="1:19" ht="17.25" customHeight="1">
      <c r="A39" s="9"/>
      <c r="B39" s="1"/>
      <c r="C39" s="9"/>
      <c r="D39" s="9"/>
      <c r="E39" s="9"/>
      <c r="F39" s="9"/>
      <c r="G39" s="9"/>
      <c r="H39" s="7"/>
      <c r="I39" s="8"/>
      <c r="J39" s="9"/>
      <c r="K39" s="9"/>
      <c r="L39" s="12"/>
      <c r="M39" s="10"/>
      <c r="N39" s="11"/>
      <c r="O39" s="12"/>
      <c r="P39" s="12"/>
      <c r="Q39" s="10"/>
      <c r="R39" s="11"/>
      <c r="S39" s="9"/>
    </row>
    <row r="40" spans="1:19" ht="17.25" customHeight="1">
      <c r="A40" s="9"/>
      <c r="B40" s="1"/>
      <c r="C40" s="9"/>
      <c r="D40" s="9"/>
      <c r="E40" s="9"/>
      <c r="F40" s="9"/>
      <c r="G40" s="9"/>
      <c r="H40" s="7"/>
      <c r="I40" s="8"/>
      <c r="J40" s="9"/>
      <c r="K40" s="9"/>
      <c r="L40" s="12"/>
      <c r="M40" s="10"/>
      <c r="N40" s="11"/>
      <c r="O40" s="12"/>
      <c r="P40" s="12"/>
      <c r="Q40" s="10"/>
      <c r="R40" s="11"/>
      <c r="S40" s="9"/>
    </row>
    <row r="41" spans="1:19" ht="17.25" customHeight="1">
      <c r="A41" s="9"/>
      <c r="B41" s="1"/>
      <c r="C41" s="9"/>
      <c r="D41" s="9"/>
      <c r="E41" s="9"/>
      <c r="F41" s="9"/>
      <c r="G41" s="9"/>
      <c r="H41" s="7"/>
      <c r="I41" s="8"/>
      <c r="J41" s="9"/>
      <c r="K41" s="9"/>
      <c r="L41" s="12"/>
      <c r="M41" s="10"/>
      <c r="N41" s="11"/>
      <c r="O41" s="12"/>
      <c r="P41" s="12"/>
      <c r="Q41" s="10"/>
      <c r="R41" s="11"/>
      <c r="S41" s="9"/>
    </row>
  </sheetData>
  <mergeCells count="10">
    <mergeCell ref="P1:R1"/>
    <mergeCell ref="A2:E2"/>
    <mergeCell ref="H2:I2"/>
    <mergeCell ref="L2:N2"/>
    <mergeCell ref="P2:R2"/>
    <mergeCell ref="E5:E6"/>
    <mergeCell ref="A17:D17"/>
    <mergeCell ref="A1:E1"/>
    <mergeCell ref="H1:I1"/>
    <mergeCell ref="L1:N1"/>
  </mergeCells>
  <conditionalFormatting sqref="A2:F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Batista Da Silva</dc:creator>
  <cp:keywords/>
  <dc:description/>
  <cp:lastModifiedBy/>
  <cp:revision/>
  <dcterms:created xsi:type="dcterms:W3CDTF">2020-11-30T23:06:59Z</dcterms:created>
  <dcterms:modified xsi:type="dcterms:W3CDTF">2026-10-22T12:47:36Z</dcterms:modified>
  <cp:category/>
  <cp:contentStatus/>
</cp:coreProperties>
</file>