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9"/>
  <workbookPr/>
  <mc:AlternateContent xmlns:mc="http://schemas.openxmlformats.org/markup-compatibility/2006">
    <mc:Choice Requires="x15">
      <x15ac:absPath xmlns:x15ac="http://schemas.microsoft.com/office/spreadsheetml/2010/11/ac" url="C:\Users\briur\OneDrive\Documentos\"/>
    </mc:Choice>
  </mc:AlternateContent>
  <xr:revisionPtr revIDLastSave="0" documentId="8_{15F77824-32E7-41D2-8072-A71AEE8C9035}" xr6:coauthVersionLast="47" xr6:coauthVersionMax="47" xr10:uidLastSave="{00000000-0000-0000-0000-000000000000}"/>
  <bookViews>
    <workbookView xWindow="-120" yWindow="-120" windowWidth="29040" windowHeight="15990" firstSheet="12" activeTab="12" xr2:uid="{00000000-000D-0000-FFFF-FFFF00000000}"/>
  </bookViews>
  <sheets>
    <sheet name="Fevereiro" sheetId="2" state="hidden" r:id="rId1"/>
    <sheet name="Janeiro 2024" sheetId="29" r:id="rId2"/>
    <sheet name="Fevereiro 2024" sheetId="35" r:id="rId3"/>
    <sheet name="Março 2024" sheetId="36" r:id="rId4"/>
    <sheet name="Abril 2024" sheetId="37" r:id="rId5"/>
    <sheet name="Maio 2024" sheetId="38" r:id="rId6"/>
    <sheet name="Junho 2024" sheetId="39" r:id="rId7"/>
    <sheet name="Julho 2024" sheetId="40" r:id="rId8"/>
    <sheet name="Agosto 2024" sheetId="41" r:id="rId9"/>
    <sheet name="Setembro 2024" sheetId="42" r:id="rId10"/>
    <sheet name="Outubro 2024" sheetId="43" r:id="rId11"/>
    <sheet name="Novembro 2024" sheetId="44" r:id="rId12"/>
    <sheet name="Dezembro 2024" sheetId="45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29" l="1"/>
  <c r="M9" i="45"/>
  <c r="L2" i="45"/>
  <c r="I13" i="45"/>
  <c r="H2" i="45"/>
  <c r="P2" i="45"/>
  <c r="E7" i="45"/>
  <c r="A2" i="45"/>
  <c r="Q5" i="45"/>
  <c r="F5" i="45"/>
  <c r="M14" i="45"/>
  <c r="C6" i="45"/>
  <c r="C5" i="45"/>
  <c r="R5" i="45"/>
  <c r="I13" i="44"/>
  <c r="L2" i="44"/>
  <c r="H2" i="44"/>
  <c r="P2" i="44"/>
  <c r="A2" i="44"/>
  <c r="M14" i="44"/>
  <c r="E7" i="44"/>
  <c r="C5" i="44"/>
  <c r="F5" i="44"/>
  <c r="Q5" i="44"/>
  <c r="R5" i="44"/>
  <c r="C6" i="44"/>
  <c r="F6" i="44"/>
  <c r="C6" i="43"/>
  <c r="E5" i="43"/>
  <c r="M9" i="42"/>
  <c r="M14" i="43"/>
  <c r="Q5" i="43"/>
  <c r="E7" i="43"/>
  <c r="C5" i="43"/>
  <c r="L2" i="43"/>
  <c r="H2" i="43"/>
  <c r="P2" i="43"/>
  <c r="R5" i="43"/>
  <c r="E5" i="42"/>
  <c r="M14" i="42"/>
  <c r="E7" i="42"/>
  <c r="C6" i="42"/>
  <c r="Q5" i="42"/>
  <c r="C5" i="42"/>
  <c r="L2" i="42"/>
  <c r="H2" i="42"/>
  <c r="P2" i="42"/>
  <c r="R5" i="42"/>
  <c r="A2" i="42"/>
  <c r="M14" i="41"/>
  <c r="E7" i="41"/>
  <c r="C6" i="41"/>
  <c r="Q5" i="41"/>
  <c r="C5" i="41"/>
  <c r="L2" i="41"/>
  <c r="H2" i="41"/>
  <c r="P2" i="41"/>
  <c r="R5" i="41"/>
  <c r="A2" i="41"/>
  <c r="M5" i="39"/>
  <c r="M14" i="40"/>
  <c r="E7" i="40"/>
  <c r="H2" i="40"/>
  <c r="L2" i="40"/>
  <c r="P2" i="40"/>
  <c r="A2" i="40"/>
  <c r="C5" i="40"/>
  <c r="Q5" i="40"/>
  <c r="R5" i="40"/>
  <c r="C6" i="40"/>
  <c r="H2" i="37"/>
  <c r="M14" i="37"/>
  <c r="Q5" i="37"/>
  <c r="M14" i="39"/>
  <c r="E7" i="39"/>
  <c r="C6" i="39"/>
  <c r="Q5" i="39"/>
  <c r="C5" i="39"/>
  <c r="L2" i="39"/>
  <c r="H2" i="39"/>
  <c r="P2" i="39"/>
  <c r="R5" i="39"/>
  <c r="A2" i="39"/>
  <c r="F5" i="39"/>
  <c r="F6" i="39"/>
  <c r="M8" i="37"/>
  <c r="E5" i="37"/>
  <c r="L2" i="38"/>
  <c r="H2" i="38"/>
  <c r="M14" i="38"/>
  <c r="E7" i="38"/>
  <c r="C6" i="38"/>
  <c r="Q5" i="38"/>
  <c r="C5" i="38"/>
  <c r="P2" i="38"/>
  <c r="R5" i="38"/>
  <c r="E7" i="37"/>
  <c r="C6" i="37"/>
  <c r="C5" i="37"/>
  <c r="L2" i="37"/>
  <c r="P2" i="37"/>
  <c r="R5" i="37"/>
  <c r="A2" i="37"/>
  <c r="F5" i="37"/>
  <c r="F6" i="37"/>
  <c r="M14" i="36"/>
  <c r="E7" i="36"/>
  <c r="C6" i="36"/>
  <c r="Q5" i="36"/>
  <c r="C5" i="36"/>
  <c r="L2" i="36"/>
  <c r="H2" i="36"/>
  <c r="P2" i="36"/>
  <c r="R5" i="36"/>
  <c r="A2" i="36"/>
  <c r="F5" i="36"/>
  <c r="F6" i="36"/>
  <c r="M15" i="35"/>
  <c r="E7" i="35"/>
  <c r="C6" i="35"/>
  <c r="Q5" i="35"/>
  <c r="C5" i="35"/>
  <c r="L2" i="35"/>
  <c r="H2" i="35"/>
  <c r="P2" i="35"/>
  <c r="R5" i="35"/>
  <c r="A2" i="35"/>
  <c r="F5" i="35"/>
  <c r="F6" i="35"/>
  <c r="C6" i="29"/>
  <c r="E7" i="29"/>
  <c r="M14" i="29"/>
  <c r="Q5" i="29"/>
  <c r="C5" i="29"/>
  <c r="L2" i="29"/>
  <c r="H2" i="29"/>
  <c r="P2" i="29"/>
  <c r="R5" i="29"/>
  <c r="A2" i="29"/>
  <c r="F5" i="29"/>
  <c r="F6" i="29"/>
  <c r="I10" i="2"/>
  <c r="M10" i="2"/>
  <c r="M14" i="2"/>
  <c r="D6" i="2"/>
  <c r="D5" i="2"/>
  <c r="H2" i="2"/>
  <c r="Q5" i="2"/>
  <c r="L2" i="2"/>
  <c r="P2" i="2"/>
  <c r="R5" i="2"/>
  <c r="E7" i="2"/>
  <c r="A2" i="2"/>
  <c r="F5" i="2"/>
  <c r="F6" i="2"/>
  <c r="A2" i="38"/>
  <c r="F5" i="38"/>
  <c r="F6" i="38"/>
  <c r="F6" i="40"/>
  <c r="F5" i="40"/>
  <c r="F6" i="41"/>
  <c r="F5" i="41"/>
  <c r="A2" i="43"/>
  <c r="F6" i="43"/>
  <c r="F5" i="43"/>
  <c r="F6" i="42"/>
  <c r="F5" i="42"/>
  <c r="F6" i="45"/>
</calcChain>
</file>

<file path=xl/sharedStrings.xml><?xml version="1.0" encoding="utf-8"?>
<sst xmlns="http://schemas.openxmlformats.org/spreadsheetml/2006/main" count="594" uniqueCount="65">
  <si>
    <t>Balanço</t>
  </si>
  <si>
    <t>Gastos fixos</t>
  </si>
  <si>
    <t>Dívidas</t>
  </si>
  <si>
    <t>Total</t>
  </si>
  <si>
    <t>Pagos</t>
  </si>
  <si>
    <t>Bruto</t>
  </si>
  <si>
    <t>Descontos</t>
  </si>
  <si>
    <t>Líquido</t>
  </si>
  <si>
    <t>Outras entradas</t>
  </si>
  <si>
    <t>Sobra pro bailão</t>
  </si>
  <si>
    <t>Aluguel</t>
  </si>
  <si>
    <t>ok</t>
  </si>
  <si>
    <t>Parcelas</t>
  </si>
  <si>
    <t>Valor</t>
  </si>
  <si>
    <t>Instituição</t>
  </si>
  <si>
    <t>Total Pagos</t>
  </si>
  <si>
    <t>Falta Pagar</t>
  </si>
  <si>
    <t>Gabriel</t>
  </si>
  <si>
    <t>Internet</t>
  </si>
  <si>
    <t>Itaú</t>
  </si>
  <si>
    <t>Gabriela</t>
  </si>
  <si>
    <t>Luz</t>
  </si>
  <si>
    <t>Renner</t>
  </si>
  <si>
    <t>Investimento</t>
  </si>
  <si>
    <t>Empréstimo</t>
  </si>
  <si>
    <t>Mercado</t>
  </si>
  <si>
    <t>Nubank Gabriela</t>
  </si>
  <si>
    <t>Zed</t>
  </si>
  <si>
    <t>Nubank Gabriel</t>
  </si>
  <si>
    <t>Vivo + Claro</t>
  </si>
  <si>
    <t>Cartão Itaú</t>
  </si>
  <si>
    <t>Concomínio</t>
  </si>
  <si>
    <t>Casas Bahia</t>
  </si>
  <si>
    <t>Gás</t>
  </si>
  <si>
    <t>Cartão Renner</t>
  </si>
  <si>
    <t>Ração</t>
  </si>
  <si>
    <t>Tapete Higiênico</t>
  </si>
  <si>
    <t>Banho Zed</t>
  </si>
  <si>
    <t>Uber</t>
  </si>
  <si>
    <t>iPhone</t>
  </si>
  <si>
    <t>Óculos</t>
  </si>
  <si>
    <t>Mercado Estimativa</t>
  </si>
  <si>
    <t>nubank</t>
  </si>
  <si>
    <t>Décimo 3º</t>
  </si>
  <si>
    <t>Condomínio</t>
  </si>
  <si>
    <t>Óculos + Bradesco</t>
  </si>
  <si>
    <t>Claro</t>
  </si>
  <si>
    <t>Vivo</t>
  </si>
  <si>
    <t>Bradesco</t>
  </si>
  <si>
    <t>Nubank</t>
  </si>
  <si>
    <t>Trem</t>
  </si>
  <si>
    <t xml:space="preserve">Nubank </t>
  </si>
  <si>
    <t>trem 2</t>
  </si>
  <si>
    <t>final oculos</t>
  </si>
  <si>
    <t>Máquina</t>
  </si>
  <si>
    <t>Ok</t>
  </si>
  <si>
    <t>Vilmar</t>
  </si>
  <si>
    <t>Apartamento</t>
  </si>
  <si>
    <t>Nubank = Gabriel + Gabriela</t>
  </si>
  <si>
    <t>gabriel</t>
  </si>
  <si>
    <t>gabriela</t>
  </si>
  <si>
    <t>Dizimo</t>
  </si>
  <si>
    <t>Carne</t>
  </si>
  <si>
    <t>anuidade + gasolina</t>
  </si>
  <si>
    <t>Dízimo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</si>
</sst>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theme="0"/>
      <name val="Calibri Light"/>
      <family val="2"/>
      <scheme val="major"/>
    </font>
    <font>
      <b/>
      <sz val="11"/>
      <color theme="0"/>
      <name val="Calibri Light"/>
      <family val="2"/>
      <scheme val="major"/>
    </font>
    <font>
      <b/>
      <sz val="13"/>
      <color theme="0"/>
      <name val="Calibri Light"/>
      <family val="2"/>
      <scheme val="major"/>
    </font>
    <font>
      <sz val="11"/>
      <color rgb="FFC7C7C7"/>
      <name val="Calibri Light"/>
      <family val="2"/>
      <scheme val="major"/>
    </font>
    <font>
      <b/>
      <sz val="13"/>
      <color rgb="FFFF6969"/>
      <name val="Calibri Light"/>
      <family val="2"/>
      <scheme val="major"/>
    </font>
    <font>
      <b/>
      <sz val="13"/>
      <color rgb="FFFFC000"/>
      <name val="Calibri Light"/>
      <family val="2"/>
      <scheme val="major"/>
    </font>
    <font>
      <b/>
      <sz val="13"/>
      <color rgb="FF92D050"/>
      <name val="Calibri Light"/>
      <family val="2"/>
      <scheme val="major"/>
    </font>
    <font>
      <b/>
      <sz val="13"/>
      <color theme="5" tint="0.39997558519241921"/>
      <name val="Calibri Light"/>
      <family val="2"/>
      <scheme val="major"/>
    </font>
    <font>
      <sz val="11"/>
      <color rgb="FFFF6969"/>
      <name val="Calibri Light"/>
      <family val="2"/>
      <scheme val="major"/>
    </font>
    <font>
      <sz val="11"/>
      <color rgb="FF92D050"/>
      <name val="Calibri Light"/>
      <family val="2"/>
      <scheme val="major"/>
    </font>
    <font>
      <sz val="11"/>
      <color theme="0"/>
      <name val="Calibri Light"/>
      <scheme val="major"/>
    </font>
    <font>
      <sz val="11"/>
      <color theme="1"/>
      <name val="Calibri Light"/>
      <scheme val="major"/>
    </font>
    <font>
      <b/>
      <sz val="13"/>
      <color theme="0"/>
      <name val="Calibri Light"/>
      <scheme val="major"/>
    </font>
    <font>
      <b/>
      <sz val="13"/>
      <color rgb="FF92D050"/>
      <name val="Calibri Light"/>
      <scheme val="major"/>
    </font>
    <font>
      <b/>
      <sz val="13"/>
      <color rgb="FFFFC000"/>
      <name val="Calibri Light"/>
      <scheme val="major"/>
    </font>
    <font>
      <b/>
      <sz val="13"/>
      <color theme="5" tint="0.39997558519241921"/>
      <name val="Calibri Light"/>
      <scheme val="major"/>
    </font>
    <font>
      <b/>
      <sz val="13"/>
      <color rgb="FFFF6969"/>
      <name val="Calibri Light"/>
      <scheme val="major"/>
    </font>
    <font>
      <b/>
      <sz val="11"/>
      <color theme="0"/>
      <name val="Calibri Light"/>
      <scheme val="major"/>
    </font>
    <font>
      <sz val="11"/>
      <color rgb="FFC7C7C7"/>
      <name val="Calibri Light"/>
      <scheme val="major"/>
    </font>
    <font>
      <sz val="11"/>
      <color rgb="FF92D050"/>
      <name val="Calibri Light"/>
      <scheme val="major"/>
    </font>
    <font>
      <sz val="11"/>
      <color rgb="FFFF6969"/>
      <name val="Calibri Light"/>
      <scheme val="major"/>
    </font>
    <font>
      <b/>
      <sz val="13"/>
      <color rgb="FFC7C7C7"/>
      <name val="Calibri Light"/>
      <scheme val="major"/>
    </font>
    <font>
      <b/>
      <sz val="12"/>
      <color theme="0"/>
      <name val="Calibri Light"/>
      <scheme val="major"/>
    </font>
    <font>
      <sz val="12"/>
      <color rgb="FFC7C7C7"/>
      <name val="Calibri Light"/>
      <scheme val="major"/>
    </font>
    <font>
      <sz val="12"/>
      <color theme="0"/>
      <name val="Calibri Light"/>
      <scheme val="major"/>
    </font>
    <font>
      <sz val="12"/>
      <color rgb="FF92D050"/>
      <name val="Calibri Light"/>
      <scheme val="major"/>
    </font>
    <font>
      <sz val="12"/>
      <color rgb="FFFF6969"/>
      <name val="Calibri Light"/>
      <scheme val="major"/>
    </font>
    <font>
      <b/>
      <sz val="12"/>
      <color rgb="FFC7C7C7"/>
      <name val="Calibri Light"/>
      <scheme val="major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rgb="FF29333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5">
    <xf numFmtId="0" fontId="0" fillId="0" borderId="0" xfId="0"/>
    <xf numFmtId="0" fontId="2" fillId="0" borderId="0" xfId="0" applyFont="1"/>
    <xf numFmtId="0" fontId="4" fillId="3" borderId="0" xfId="0" applyFont="1" applyFill="1" applyAlignment="1">
      <alignment horizontal="center" vertical="center"/>
    </xf>
    <xf numFmtId="0" fontId="3" fillId="3" borderId="0" xfId="0" applyFont="1" applyFill="1"/>
    <xf numFmtId="164" fontId="3" fillId="3" borderId="0" xfId="0" applyNumberFormat="1" applyFont="1" applyFill="1"/>
    <xf numFmtId="0" fontId="2" fillId="3" borderId="0" xfId="0" applyFont="1" applyFill="1"/>
    <xf numFmtId="0" fontId="5" fillId="2" borderId="0" xfId="0" applyFont="1" applyFill="1" applyAlignment="1">
      <alignment vertical="center"/>
    </xf>
    <xf numFmtId="0" fontId="4" fillId="3" borderId="0" xfId="0" applyFont="1" applyFill="1"/>
    <xf numFmtId="164" fontId="6" fillId="3" borderId="0" xfId="0" applyNumberFormat="1" applyFont="1" applyFill="1" applyAlignment="1">
      <alignment horizontal="center"/>
    </xf>
    <xf numFmtId="164" fontId="6" fillId="3" borderId="0" xfId="1" applyNumberFormat="1" applyFont="1" applyFill="1" applyAlignment="1">
      <alignment horizontal="left" vertical="center"/>
    </xf>
    <xf numFmtId="164" fontId="6" fillId="3" borderId="0" xfId="1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/>
    </xf>
    <xf numFmtId="164" fontId="4" fillId="3" borderId="0" xfId="0" applyNumberFormat="1" applyFont="1" applyFill="1" applyAlignment="1">
      <alignment horizontal="left"/>
    </xf>
    <xf numFmtId="164" fontId="4" fillId="3" borderId="0" xfId="0" applyNumberFormat="1" applyFont="1" applyFill="1" applyAlignment="1">
      <alignment horizontal="center" vertical="center"/>
    </xf>
    <xf numFmtId="44" fontId="6" fillId="3" borderId="0" xfId="0" applyNumberFormat="1" applyFont="1" applyFill="1" applyAlignment="1">
      <alignment horizontal="center" vertical="center"/>
    </xf>
    <xf numFmtId="164" fontId="11" fillId="3" borderId="0" xfId="0" applyNumberFormat="1" applyFont="1" applyFill="1" applyAlignment="1">
      <alignment horizontal="center"/>
    </xf>
    <xf numFmtId="164" fontId="3" fillId="3" borderId="0" xfId="0" applyNumberFormat="1" applyFont="1" applyFill="1" applyAlignment="1">
      <alignment horizontal="left"/>
    </xf>
    <xf numFmtId="164" fontId="4" fillId="3" borderId="0" xfId="0" applyNumberFormat="1" applyFont="1" applyFill="1" applyAlignment="1">
      <alignment horizontal="left" vertical="center"/>
    </xf>
    <xf numFmtId="164" fontId="6" fillId="3" borderId="0" xfId="0" applyNumberFormat="1" applyFont="1" applyFill="1" applyAlignment="1">
      <alignment horizontal="left"/>
    </xf>
    <xf numFmtId="164" fontId="7" fillId="3" borderId="0" xfId="1" applyNumberFormat="1" applyFont="1" applyFill="1" applyAlignment="1">
      <alignment vertical="center"/>
    </xf>
    <xf numFmtId="44" fontId="4" fillId="3" borderId="0" xfId="1" applyFont="1" applyFill="1" applyAlignment="1">
      <alignment horizontal="center"/>
    </xf>
    <xf numFmtId="164" fontId="12" fillId="3" borderId="0" xfId="0" applyNumberFormat="1" applyFont="1" applyFill="1" applyAlignment="1">
      <alignment horizontal="center"/>
    </xf>
    <xf numFmtId="164" fontId="3" fillId="3" borderId="0" xfId="0" applyNumberFormat="1" applyFont="1" applyFill="1" applyAlignment="1">
      <alignment horizontal="center" vertical="center"/>
    </xf>
    <xf numFmtId="164" fontId="13" fillId="3" borderId="0" xfId="0" applyNumberFormat="1" applyFont="1" applyFill="1"/>
    <xf numFmtId="0" fontId="4" fillId="3" borderId="0" xfId="0" applyFont="1" applyFill="1" applyAlignment="1">
      <alignment vertical="center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vertical="center"/>
    </xf>
    <xf numFmtId="164" fontId="3" fillId="3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64" fontId="9" fillId="3" borderId="0" xfId="1" applyNumberFormat="1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164" fontId="7" fillId="3" borderId="0" xfId="1" applyNumberFormat="1" applyFont="1" applyFill="1" applyAlignment="1">
      <alignment horizontal="left" vertical="center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left" vertical="center"/>
    </xf>
    <xf numFmtId="0" fontId="2" fillId="0" borderId="0" xfId="0" applyFont="1" applyAlignment="1">
      <alignment horizontal="left"/>
    </xf>
    <xf numFmtId="0" fontId="14" fillId="0" borderId="0" xfId="0" applyFont="1"/>
    <xf numFmtId="0" fontId="15" fillId="2" borderId="0" xfId="0" applyFont="1" applyFill="1" applyAlignment="1">
      <alignment vertical="center"/>
    </xf>
    <xf numFmtId="0" fontId="14" fillId="3" borderId="0" xfId="0" applyFont="1" applyFill="1"/>
    <xf numFmtId="164" fontId="19" fillId="3" borderId="0" xfId="1" applyNumberFormat="1" applyFont="1" applyFill="1" applyAlignment="1">
      <alignment vertical="center"/>
    </xf>
    <xf numFmtId="0" fontId="20" fillId="3" borderId="0" xfId="0" applyFont="1" applyFill="1" applyAlignment="1">
      <alignment horizontal="center" vertical="center"/>
    </xf>
    <xf numFmtId="0" fontId="20" fillId="3" borderId="0" xfId="0" applyFont="1" applyFill="1"/>
    <xf numFmtId="164" fontId="21" fillId="3" borderId="0" xfId="1" applyNumberFormat="1" applyFont="1" applyFill="1" applyAlignment="1">
      <alignment horizontal="left" vertical="center"/>
    </xf>
    <xf numFmtId="0" fontId="13" fillId="3" borderId="0" xfId="0" applyFont="1" applyFill="1"/>
    <xf numFmtId="164" fontId="20" fillId="3" borderId="0" xfId="0" applyNumberFormat="1" applyFont="1" applyFill="1" applyAlignment="1">
      <alignment horizontal="center"/>
    </xf>
    <xf numFmtId="44" fontId="20" fillId="3" borderId="0" xfId="1" applyFont="1" applyFill="1" applyAlignment="1">
      <alignment horizontal="center"/>
    </xf>
    <xf numFmtId="164" fontId="20" fillId="3" borderId="0" xfId="0" applyNumberFormat="1" applyFont="1" applyFill="1" applyAlignment="1">
      <alignment horizontal="left"/>
    </xf>
    <xf numFmtId="164" fontId="21" fillId="3" borderId="0" xfId="0" applyNumberFormat="1" applyFont="1" applyFill="1" applyAlignment="1">
      <alignment horizontal="left"/>
    </xf>
    <xf numFmtId="44" fontId="21" fillId="3" borderId="0" xfId="0" applyNumberFormat="1" applyFont="1" applyFill="1" applyAlignment="1">
      <alignment horizontal="center" vertical="center"/>
    </xf>
    <xf numFmtId="164" fontId="21" fillId="3" borderId="0" xfId="0" applyNumberFormat="1" applyFont="1" applyFill="1" applyAlignment="1">
      <alignment horizontal="center"/>
    </xf>
    <xf numFmtId="0" fontId="21" fillId="3" borderId="0" xfId="0" applyFont="1" applyFill="1" applyAlignment="1">
      <alignment horizontal="center"/>
    </xf>
    <xf numFmtId="0" fontId="13" fillId="3" borderId="0" xfId="0" applyFont="1" applyFill="1" applyAlignment="1">
      <alignment horizontal="center" vertical="center"/>
    </xf>
    <xf numFmtId="164" fontId="22" fillId="3" borderId="0" xfId="0" applyNumberFormat="1" applyFont="1" applyFill="1" applyAlignment="1">
      <alignment horizontal="center"/>
    </xf>
    <xf numFmtId="164" fontId="23" fillId="3" borderId="0" xfId="0" applyNumberFormat="1" applyFont="1" applyFill="1" applyAlignment="1">
      <alignment horizontal="center"/>
    </xf>
    <xf numFmtId="164" fontId="13" fillId="3" borderId="0" xfId="0" applyNumberFormat="1" applyFont="1" applyFill="1" applyAlignment="1">
      <alignment horizontal="left"/>
    </xf>
    <xf numFmtId="164" fontId="20" fillId="3" borderId="0" xfId="0" applyNumberFormat="1" applyFont="1" applyFill="1" applyAlignment="1">
      <alignment horizontal="left" vertical="center"/>
    </xf>
    <xf numFmtId="164" fontId="20" fillId="3" borderId="0" xfId="0" applyNumberFormat="1" applyFont="1" applyFill="1" applyAlignment="1">
      <alignment horizontal="center" vertical="center"/>
    </xf>
    <xf numFmtId="164" fontId="13" fillId="3" borderId="0" xfId="0" applyNumberFormat="1" applyFont="1" applyFill="1" applyAlignment="1">
      <alignment horizontal="center" vertical="center"/>
    </xf>
    <xf numFmtId="164" fontId="13" fillId="3" borderId="0" xfId="0" applyNumberFormat="1" applyFont="1" applyFill="1" applyAlignment="1"/>
    <xf numFmtId="0" fontId="13" fillId="3" borderId="0" xfId="0" applyFont="1" applyFill="1" applyAlignment="1">
      <alignment horizontal="left" vertical="center"/>
    </xf>
    <xf numFmtId="0" fontId="25" fillId="3" borderId="0" xfId="0" applyFont="1" applyFill="1" applyAlignment="1">
      <alignment horizontal="center" vertical="center"/>
    </xf>
    <xf numFmtId="0" fontId="25" fillId="3" borderId="0" xfId="0" applyFont="1" applyFill="1"/>
    <xf numFmtId="164" fontId="26" fillId="3" borderId="0" xfId="1" applyNumberFormat="1" applyFont="1" applyFill="1" applyAlignment="1">
      <alignment horizontal="left" vertical="center"/>
    </xf>
    <xf numFmtId="0" fontId="27" fillId="3" borderId="0" xfId="0" applyFont="1" applyFill="1"/>
    <xf numFmtId="164" fontId="25" fillId="3" borderId="0" xfId="0" applyNumberFormat="1" applyFont="1" applyFill="1" applyAlignment="1">
      <alignment horizontal="center"/>
    </xf>
    <xf numFmtId="44" fontId="25" fillId="3" borderId="0" xfId="1" applyFont="1" applyFill="1" applyAlignment="1">
      <alignment horizontal="center"/>
    </xf>
    <xf numFmtId="164" fontId="25" fillId="3" borderId="0" xfId="0" applyNumberFormat="1" applyFont="1" applyFill="1" applyAlignment="1">
      <alignment horizontal="left"/>
    </xf>
    <xf numFmtId="164" fontId="26" fillId="3" borderId="0" xfId="0" applyNumberFormat="1" applyFont="1" applyFill="1" applyAlignment="1">
      <alignment horizontal="left"/>
    </xf>
    <xf numFmtId="44" fontId="26" fillId="3" borderId="0" xfId="0" applyNumberFormat="1" applyFont="1" applyFill="1" applyAlignment="1">
      <alignment horizontal="center" vertical="center"/>
    </xf>
    <xf numFmtId="164" fontId="26" fillId="3" borderId="0" xfId="0" applyNumberFormat="1" applyFont="1" applyFill="1" applyAlignment="1">
      <alignment horizontal="center"/>
    </xf>
    <xf numFmtId="0" fontId="26" fillId="3" borderId="0" xfId="0" applyFont="1" applyFill="1" applyAlignment="1">
      <alignment horizontal="center"/>
    </xf>
    <xf numFmtId="0" fontId="27" fillId="3" borderId="0" xfId="0" applyFont="1" applyFill="1" applyAlignment="1">
      <alignment horizontal="center" vertical="center"/>
    </xf>
    <xf numFmtId="164" fontId="28" fillId="3" borderId="0" xfId="0" applyNumberFormat="1" applyFont="1" applyFill="1" applyAlignment="1">
      <alignment horizontal="center"/>
    </xf>
    <xf numFmtId="164" fontId="29" fillId="3" borderId="0" xfId="0" applyNumberFormat="1" applyFont="1" applyFill="1" applyAlignment="1">
      <alignment horizontal="center"/>
    </xf>
    <xf numFmtId="164" fontId="27" fillId="3" borderId="0" xfId="0" applyNumberFormat="1" applyFont="1" applyFill="1" applyAlignment="1">
      <alignment horizontal="left"/>
    </xf>
    <xf numFmtId="164" fontId="25" fillId="3" borderId="0" xfId="0" applyNumberFormat="1" applyFont="1" applyFill="1" applyAlignment="1">
      <alignment horizontal="left" vertical="center"/>
    </xf>
    <xf numFmtId="164" fontId="27" fillId="3" borderId="0" xfId="0" applyNumberFormat="1" applyFont="1" applyFill="1"/>
    <xf numFmtId="0" fontId="27" fillId="3" borderId="0" xfId="0" applyFont="1" applyFill="1" applyAlignment="1">
      <alignment horizontal="left" vertical="center"/>
    </xf>
    <xf numFmtId="164" fontId="27" fillId="3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4" fontId="7" fillId="3" borderId="0" xfId="1" applyNumberFormat="1" applyFont="1" applyFill="1" applyAlignment="1">
      <alignment horizontal="center" vertical="center"/>
    </xf>
    <xf numFmtId="164" fontId="9" fillId="3" borderId="0" xfId="1" applyNumberFormat="1" applyFont="1" applyFill="1" applyAlignment="1">
      <alignment horizontal="center" vertical="center"/>
    </xf>
    <xf numFmtId="164" fontId="8" fillId="3" borderId="0" xfId="1" applyNumberFormat="1" applyFont="1" applyFill="1" applyAlignment="1">
      <alignment horizontal="center" vertical="center"/>
    </xf>
    <xf numFmtId="164" fontId="10" fillId="3" borderId="0" xfId="1" applyNumberFormat="1" applyFont="1" applyFill="1" applyAlignment="1">
      <alignment horizontal="center" vertical="center"/>
    </xf>
    <xf numFmtId="164" fontId="6" fillId="3" borderId="0" xfId="0" applyNumberFormat="1" applyFont="1" applyFill="1" applyAlignment="1">
      <alignment vertical="center"/>
    </xf>
    <xf numFmtId="164" fontId="3" fillId="3" borderId="0" xfId="0" applyNumberFormat="1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164" fontId="16" fillId="3" borderId="0" xfId="1" applyNumberFormat="1" applyFont="1" applyFill="1" applyAlignment="1">
      <alignment horizontal="center" vertical="center"/>
    </xf>
    <xf numFmtId="164" fontId="17" fillId="3" borderId="0" xfId="1" applyNumberFormat="1" applyFont="1" applyFill="1" applyAlignment="1">
      <alignment horizontal="center" vertical="center"/>
    </xf>
    <xf numFmtId="164" fontId="18" fillId="3" borderId="0" xfId="1" applyNumberFormat="1" applyFont="1" applyFill="1" applyAlignment="1">
      <alignment horizontal="center" vertical="center"/>
    </xf>
    <xf numFmtId="164" fontId="19" fillId="3" borderId="0" xfId="1" applyNumberFormat="1" applyFont="1" applyFill="1" applyAlignment="1">
      <alignment horizontal="center" vertical="center"/>
    </xf>
    <xf numFmtId="164" fontId="13" fillId="3" borderId="0" xfId="0" applyNumberFormat="1" applyFont="1" applyFill="1" applyAlignment="1">
      <alignment horizontal="center"/>
    </xf>
    <xf numFmtId="164" fontId="25" fillId="3" borderId="0" xfId="0" applyNumberFormat="1" applyFont="1" applyFill="1" applyAlignment="1">
      <alignment horizontal="center" vertical="center"/>
    </xf>
    <xf numFmtId="164" fontId="26" fillId="3" borderId="0" xfId="0" applyNumberFormat="1" applyFont="1" applyFill="1" applyAlignment="1">
      <alignment horizontal="left" vertical="center"/>
    </xf>
    <xf numFmtId="164" fontId="25" fillId="3" borderId="0" xfId="0" applyNumberFormat="1" applyFont="1" applyFill="1" applyAlignment="1">
      <alignment horizontal="center" vertical="center"/>
    </xf>
    <xf numFmtId="164" fontId="30" fillId="3" borderId="0" xfId="0" applyNumberFormat="1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164" fontId="16" fillId="3" borderId="0" xfId="1" applyNumberFormat="1" applyFont="1" applyFill="1" applyAlignment="1">
      <alignment horizontal="center" vertical="center"/>
    </xf>
    <xf numFmtId="164" fontId="17" fillId="3" borderId="0" xfId="1" applyNumberFormat="1" applyFont="1" applyFill="1" applyAlignment="1">
      <alignment horizontal="center" vertical="center"/>
    </xf>
    <xf numFmtId="164" fontId="18" fillId="3" borderId="0" xfId="1" applyNumberFormat="1" applyFont="1" applyFill="1" applyAlignment="1">
      <alignment horizontal="center" vertical="center"/>
    </xf>
    <xf numFmtId="164" fontId="19" fillId="3" borderId="0" xfId="1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4" fontId="7" fillId="3" borderId="0" xfId="1" applyNumberFormat="1" applyFont="1" applyFill="1" applyAlignment="1">
      <alignment horizontal="center" vertical="center"/>
    </xf>
    <xf numFmtId="164" fontId="9" fillId="3" borderId="0" xfId="1" applyNumberFormat="1" applyFont="1" applyFill="1" applyAlignment="1">
      <alignment horizontal="center" vertical="center"/>
    </xf>
    <xf numFmtId="164" fontId="6" fillId="3" borderId="0" xfId="0" applyNumberFormat="1" applyFont="1" applyFill="1" applyAlignment="1">
      <alignment horizontal="left" vertical="center"/>
    </xf>
    <xf numFmtId="164" fontId="8" fillId="3" borderId="0" xfId="1" applyNumberFormat="1" applyFont="1" applyFill="1" applyAlignment="1">
      <alignment horizontal="center" vertical="center"/>
    </xf>
    <xf numFmtId="164" fontId="10" fillId="3" borderId="0" xfId="1" applyNumberFormat="1" applyFont="1" applyFill="1" applyAlignment="1">
      <alignment horizontal="center" vertical="center"/>
    </xf>
    <xf numFmtId="164" fontId="6" fillId="3" borderId="0" xfId="0" applyNumberFormat="1" applyFont="1" applyFill="1" applyAlignment="1">
      <alignment vertical="center"/>
    </xf>
    <xf numFmtId="164" fontId="3" fillId="3" borderId="0" xfId="0" applyNumberFormat="1" applyFont="1" applyFill="1" applyAlignment="1">
      <alignment horizontal="center"/>
    </xf>
    <xf numFmtId="164" fontId="24" fillId="3" borderId="0" xfId="0" applyNumberFormat="1" applyFont="1" applyFill="1" applyAlignment="1">
      <alignment horizontal="center" vertical="center"/>
    </xf>
    <xf numFmtId="164" fontId="15" fillId="3" borderId="0" xfId="0" applyNumberFormat="1" applyFont="1" applyFill="1" applyAlignment="1">
      <alignment horizontal="center" vertical="center"/>
    </xf>
    <xf numFmtId="164" fontId="21" fillId="3" borderId="0" xfId="0" applyNumberFormat="1" applyFont="1" applyFill="1" applyAlignment="1">
      <alignment horizontal="left" vertical="center"/>
    </xf>
    <xf numFmtId="164" fontId="13" fillId="3" borderId="0" xfId="0" applyNumberFormat="1" applyFont="1" applyFill="1" applyAlignment="1">
      <alignment horizontal="center"/>
    </xf>
  </cellXfs>
  <cellStyles count="2">
    <cellStyle name="Moeda" xfId="1" builtinId="4"/>
    <cellStyle name="Normal" xfId="0" builtinId="0"/>
  </cellStyles>
  <dxfs count="13">
    <dxf>
      <font>
        <color rgb="FFFF6969"/>
      </font>
    </dxf>
    <dxf>
      <font>
        <color rgb="FFFF6969"/>
      </font>
    </dxf>
    <dxf>
      <font>
        <color rgb="FFFF6969"/>
      </font>
    </dxf>
    <dxf>
      <font>
        <color rgb="FFFF6969"/>
      </font>
    </dxf>
    <dxf>
      <font>
        <color rgb="FFFF6969"/>
      </font>
    </dxf>
    <dxf>
      <font>
        <color rgb="FFFF6969"/>
      </font>
    </dxf>
    <dxf>
      <font>
        <color rgb="FFFF6969"/>
      </font>
    </dxf>
    <dxf>
      <font>
        <color rgb="FFFF6969"/>
      </font>
    </dxf>
    <dxf>
      <font>
        <color rgb="FFFF6969"/>
      </font>
    </dxf>
    <dxf>
      <font>
        <color rgb="FFFF6969"/>
      </font>
    </dxf>
    <dxf>
      <font>
        <color rgb="FFFF6969"/>
      </font>
    </dxf>
    <dxf>
      <font>
        <color rgb="FFFF6969"/>
      </font>
    </dxf>
    <dxf>
      <font>
        <color rgb="FFFF6969"/>
      </font>
    </dxf>
  </dxfs>
  <tableStyles count="0" defaultTableStyle="TableStyleMedium2" defaultPivotStyle="PivotStyleLight16"/>
  <colors>
    <mruColors>
      <color rgb="FFF25272"/>
      <color rgb="FFF25260"/>
      <color rgb="FFFFF2F3"/>
      <color rgb="FFF2FFF7"/>
      <color rgb="FF5C5C5C"/>
      <color rgb="FFFFEBEC"/>
      <color rgb="FFFCF2F5"/>
      <color rgb="FFED3E67"/>
      <color rgb="FFE6D1D6"/>
      <color rgb="FF6B6B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CDE05-A8ED-411F-9897-C17522FE8D82}">
  <dimension ref="A1:S41"/>
  <sheetViews>
    <sheetView showGridLines="0" zoomScaleNormal="100" workbookViewId="0">
      <selection activeCell="G29" sqref="G29"/>
    </sheetView>
  </sheetViews>
  <sheetFormatPr defaultColWidth="13.28515625" defaultRowHeight="15"/>
  <cols>
    <col min="1" max="4" width="13.28515625" style="1"/>
    <col min="5" max="5" width="17.5703125" style="1" bestFit="1" customWidth="1"/>
    <col min="6" max="6" width="17.5703125" style="1" customWidth="1"/>
    <col min="7" max="7" width="13.28515625" style="1" customWidth="1"/>
    <col min="8" max="8" width="17.85546875" style="1" bestFit="1" customWidth="1"/>
    <col min="9" max="13" width="13.28515625" style="1"/>
    <col min="14" max="14" width="15.42578125" style="1" bestFit="1" customWidth="1"/>
    <col min="15" max="16384" width="13.28515625" style="1"/>
  </cols>
  <sheetData>
    <row r="1" spans="1:19" ht="33" customHeight="1">
      <c r="A1" s="103" t="s">
        <v>0</v>
      </c>
      <c r="B1" s="103"/>
      <c r="C1" s="103"/>
      <c r="D1" s="103"/>
      <c r="E1" s="103"/>
      <c r="F1" s="81"/>
      <c r="G1" s="6"/>
      <c r="H1" s="103" t="s">
        <v>1</v>
      </c>
      <c r="I1" s="103"/>
      <c r="J1" s="6"/>
      <c r="K1" s="6"/>
      <c r="L1" s="103" t="s">
        <v>2</v>
      </c>
      <c r="M1" s="103"/>
      <c r="N1" s="103"/>
      <c r="O1" s="6"/>
      <c r="P1" s="103" t="s">
        <v>3</v>
      </c>
      <c r="Q1" s="103"/>
      <c r="R1" s="103"/>
      <c r="S1" s="6"/>
    </row>
    <row r="2" spans="1:19" ht="18">
      <c r="A2" s="105">
        <f>E7+P2</f>
        <v>-1017.1900000000005</v>
      </c>
      <c r="B2" s="105"/>
      <c r="C2" s="105"/>
      <c r="D2" s="105"/>
      <c r="E2" s="105"/>
      <c r="F2" s="83"/>
      <c r="G2" s="5"/>
      <c r="H2" s="107">
        <f>SUM(I4:I34)*-1</f>
        <v>-2135.09</v>
      </c>
      <c r="I2" s="107"/>
      <c r="J2" s="5"/>
      <c r="K2" s="5"/>
      <c r="L2" s="108">
        <f>SUM(M5:M12)*-1</f>
        <v>-4707.93</v>
      </c>
      <c r="M2" s="108"/>
      <c r="N2" s="108"/>
      <c r="O2" s="21"/>
      <c r="P2" s="104">
        <f>SUM(H2:N2)</f>
        <v>-6843.02</v>
      </c>
      <c r="Q2" s="104"/>
      <c r="R2" s="104"/>
      <c r="S2" s="5"/>
    </row>
    <row r="3" spans="1:19" ht="16.5" customHeight="1">
      <c r="A3" s="83"/>
      <c r="B3" s="83"/>
      <c r="C3" s="83"/>
      <c r="D3" s="83"/>
      <c r="E3" s="83"/>
      <c r="F3" s="83"/>
      <c r="G3" s="5"/>
      <c r="H3" s="84"/>
      <c r="I3" s="84"/>
      <c r="J3" s="2" t="s">
        <v>4</v>
      </c>
      <c r="K3" s="5"/>
      <c r="L3" s="85"/>
      <c r="M3" s="85"/>
      <c r="N3" s="85"/>
      <c r="O3" s="82"/>
      <c r="P3" s="82"/>
      <c r="Q3" s="82"/>
      <c r="R3" s="82"/>
      <c r="S3" s="5"/>
    </row>
    <row r="4" spans="1:19">
      <c r="A4" s="2"/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/>
      <c r="H4" s="7" t="s">
        <v>10</v>
      </c>
      <c r="I4" s="9">
        <v>1489.9</v>
      </c>
      <c r="J4" s="3" t="s">
        <v>11</v>
      </c>
      <c r="K4" s="2"/>
      <c r="L4" s="2" t="s">
        <v>12</v>
      </c>
      <c r="M4" s="2" t="s">
        <v>13</v>
      </c>
      <c r="N4" s="2" t="s">
        <v>14</v>
      </c>
      <c r="O4" s="2" t="s">
        <v>4</v>
      </c>
      <c r="P4" s="2"/>
      <c r="Q4" s="13" t="s">
        <v>15</v>
      </c>
      <c r="R4" s="22" t="s">
        <v>16</v>
      </c>
      <c r="S4" s="2"/>
    </row>
    <row r="5" spans="1:19">
      <c r="A5" s="14" t="s">
        <v>17</v>
      </c>
      <c r="B5" s="20">
        <v>3500</v>
      </c>
      <c r="C5" s="20">
        <v>987</v>
      </c>
      <c r="D5" s="20">
        <f>B5-C5</f>
        <v>2513</v>
      </c>
      <c r="E5" s="106">
        <v>800</v>
      </c>
      <c r="F5" s="16" t="str">
        <f>IF(A2&gt;0,A2/2,"R$ 0,00")</f>
        <v>R$ 0,00</v>
      </c>
      <c r="G5" s="3"/>
      <c r="H5" s="7" t="s">
        <v>18</v>
      </c>
      <c r="I5" s="9">
        <v>58.28</v>
      </c>
      <c r="J5" s="3" t="s">
        <v>11</v>
      </c>
      <c r="K5" s="3"/>
      <c r="L5" s="2">
        <v>5</v>
      </c>
      <c r="M5" s="10">
        <v>468.37</v>
      </c>
      <c r="N5" s="11" t="s">
        <v>19</v>
      </c>
      <c r="O5" s="12" t="s">
        <v>11</v>
      </c>
      <c r="P5" s="12"/>
      <c r="Q5" s="23">
        <f>SUMIF(J:J,"ok",I:I)+SUMIF(O:O,"ok",M:M)</f>
        <v>6116.6900000000005</v>
      </c>
      <c r="R5" s="17">
        <f>P2+Q5</f>
        <v>-726.32999999999993</v>
      </c>
      <c r="S5" s="3"/>
    </row>
    <row r="6" spans="1:19">
      <c r="A6" s="14" t="s">
        <v>20</v>
      </c>
      <c r="B6" s="20">
        <v>3325.83</v>
      </c>
      <c r="C6" s="20">
        <v>813</v>
      </c>
      <c r="D6" s="20">
        <f>B6-C6</f>
        <v>2512.83</v>
      </c>
      <c r="E6" s="106"/>
      <c r="F6" s="16" t="str">
        <f>F5</f>
        <v>R$ 0,00</v>
      </c>
      <c r="G6" s="3"/>
      <c r="H6" s="7" t="s">
        <v>21</v>
      </c>
      <c r="I6" s="9">
        <v>70</v>
      </c>
      <c r="J6" s="3" t="s">
        <v>11</v>
      </c>
      <c r="K6" s="3"/>
      <c r="L6" s="2">
        <v>3</v>
      </c>
      <c r="M6" s="8">
        <v>95.9</v>
      </c>
      <c r="N6" s="11" t="s">
        <v>22</v>
      </c>
      <c r="O6" s="12" t="s">
        <v>11</v>
      </c>
      <c r="P6" s="12"/>
      <c r="Q6" s="8"/>
      <c r="R6" s="11"/>
      <c r="S6" s="3"/>
    </row>
    <row r="7" spans="1:19">
      <c r="A7" s="14" t="s">
        <v>3</v>
      </c>
      <c r="B7" s="18"/>
      <c r="C7" s="18"/>
      <c r="D7" s="19"/>
      <c r="E7" s="20">
        <f>D5+D6+E5</f>
        <v>5825.83</v>
      </c>
      <c r="F7" s="15"/>
      <c r="G7" s="3"/>
      <c r="H7" s="7" t="s">
        <v>23</v>
      </c>
      <c r="I7" s="9">
        <v>0</v>
      </c>
      <c r="J7" s="3"/>
      <c r="K7" s="3"/>
      <c r="L7" s="2">
        <v>3</v>
      </c>
      <c r="M7" s="8">
        <v>761.47</v>
      </c>
      <c r="N7" s="11" t="s">
        <v>24</v>
      </c>
      <c r="O7" s="12" t="s">
        <v>11</v>
      </c>
      <c r="P7" s="12"/>
      <c r="Q7" s="8"/>
      <c r="R7" s="11"/>
      <c r="S7" s="3"/>
    </row>
    <row r="8" spans="1:19">
      <c r="A8" s="14"/>
      <c r="B8" s="18"/>
      <c r="C8" s="18"/>
      <c r="D8" s="18"/>
      <c r="E8" s="20"/>
      <c r="F8" s="4"/>
      <c r="G8" s="3"/>
      <c r="H8" s="7" t="s">
        <v>25</v>
      </c>
      <c r="I8" s="9">
        <v>0</v>
      </c>
      <c r="J8" s="3"/>
      <c r="K8" s="3"/>
      <c r="L8" s="2">
        <v>1</v>
      </c>
      <c r="M8" s="8">
        <v>1355.9</v>
      </c>
      <c r="N8" s="11" t="s">
        <v>26</v>
      </c>
      <c r="O8" s="12" t="s">
        <v>11</v>
      </c>
      <c r="P8" s="12"/>
      <c r="Q8" s="8"/>
      <c r="R8" s="11"/>
      <c r="S8" s="3"/>
    </row>
    <row r="9" spans="1:19">
      <c r="A9" s="4"/>
      <c r="B9" s="18"/>
      <c r="C9" s="18"/>
      <c r="D9" s="18"/>
      <c r="E9" s="18"/>
      <c r="F9" s="4"/>
      <c r="G9" s="3"/>
      <c r="H9" s="7" t="s">
        <v>27</v>
      </c>
      <c r="I9" s="9">
        <v>0</v>
      </c>
      <c r="J9" s="3"/>
      <c r="K9" s="3"/>
      <c r="L9" s="2">
        <v>1</v>
      </c>
      <c r="M9" s="8">
        <v>400</v>
      </c>
      <c r="N9" s="11" t="s">
        <v>28</v>
      </c>
      <c r="O9" s="12"/>
      <c r="P9" s="12"/>
      <c r="Q9" s="8"/>
      <c r="R9" s="11"/>
      <c r="S9" s="3"/>
    </row>
    <row r="10" spans="1:19">
      <c r="A10" s="4"/>
      <c r="B10" s="4"/>
      <c r="C10" s="4"/>
      <c r="D10" s="4"/>
      <c r="E10" s="4"/>
      <c r="F10" s="4"/>
      <c r="G10" s="3"/>
      <c r="H10" s="7" t="s">
        <v>29</v>
      </c>
      <c r="I10" s="9">
        <f>110-49.9</f>
        <v>60.1</v>
      </c>
      <c r="J10" s="3" t="s">
        <v>11</v>
      </c>
      <c r="K10" s="3"/>
      <c r="L10" s="2">
        <v>1</v>
      </c>
      <c r="M10" s="8">
        <f>154.73+171.6</f>
        <v>326.33</v>
      </c>
      <c r="N10" s="11" t="s">
        <v>30</v>
      </c>
      <c r="O10" s="12"/>
      <c r="P10" s="12"/>
      <c r="Q10" s="8"/>
      <c r="R10" s="11"/>
      <c r="S10" s="3"/>
    </row>
    <row r="11" spans="1:19">
      <c r="A11" s="4"/>
      <c r="B11" s="4"/>
      <c r="C11" s="4"/>
      <c r="D11" s="4"/>
      <c r="E11" s="4"/>
      <c r="F11" s="4"/>
      <c r="G11" s="3"/>
      <c r="H11" s="7" t="s">
        <v>31</v>
      </c>
      <c r="I11" s="9">
        <v>368.81</v>
      </c>
      <c r="J11" s="3" t="s">
        <v>11</v>
      </c>
      <c r="K11" s="3"/>
      <c r="L11" s="2">
        <v>2</v>
      </c>
      <c r="M11" s="8">
        <v>240</v>
      </c>
      <c r="N11" s="11" t="s">
        <v>32</v>
      </c>
      <c r="O11" s="12" t="s">
        <v>11</v>
      </c>
      <c r="P11" s="12"/>
      <c r="Q11" s="8"/>
      <c r="R11" s="11"/>
      <c r="S11" s="3"/>
    </row>
    <row r="12" spans="1:19">
      <c r="A12" s="4"/>
      <c r="B12" s="4"/>
      <c r="C12" s="4"/>
      <c r="D12" s="4"/>
      <c r="E12" s="4"/>
      <c r="F12" s="4"/>
      <c r="G12" s="3"/>
      <c r="H12" s="7" t="s">
        <v>33</v>
      </c>
      <c r="I12" s="9">
        <v>8</v>
      </c>
      <c r="J12" s="3" t="s">
        <v>11</v>
      </c>
      <c r="K12" s="3"/>
      <c r="L12" s="2">
        <v>1</v>
      </c>
      <c r="M12" s="8">
        <v>1059.96</v>
      </c>
      <c r="N12" s="11" t="s">
        <v>34</v>
      </c>
      <c r="O12" s="12" t="s">
        <v>11</v>
      </c>
      <c r="P12" s="12"/>
      <c r="Q12" s="8"/>
      <c r="R12" s="11"/>
      <c r="S12" s="3"/>
    </row>
    <row r="13" spans="1:19">
      <c r="A13" s="4"/>
      <c r="B13" s="4"/>
      <c r="C13" s="4"/>
      <c r="D13" s="4"/>
      <c r="E13" s="4"/>
      <c r="F13" s="4"/>
      <c r="G13" s="3"/>
      <c r="H13" s="7" t="s">
        <v>35</v>
      </c>
      <c r="I13" s="9">
        <v>80</v>
      </c>
      <c r="J13" s="3" t="s">
        <v>11</v>
      </c>
      <c r="K13" s="3"/>
      <c r="L13" s="12"/>
      <c r="M13" s="8"/>
      <c r="N13" s="11"/>
      <c r="O13" s="12"/>
      <c r="P13" s="12"/>
      <c r="Q13" s="8"/>
      <c r="R13" s="11"/>
      <c r="S13" s="3"/>
    </row>
    <row r="14" spans="1:19">
      <c r="A14" s="4"/>
      <c r="B14" s="4"/>
      <c r="C14" s="4"/>
      <c r="D14" s="4"/>
      <c r="E14" s="4"/>
      <c r="F14" s="4"/>
      <c r="G14" s="3"/>
      <c r="H14" s="7" t="s">
        <v>36</v>
      </c>
      <c r="I14" s="9">
        <v>0</v>
      </c>
      <c r="J14" s="3"/>
      <c r="K14" s="3"/>
      <c r="L14" s="2" t="s">
        <v>3</v>
      </c>
      <c r="M14" s="17">
        <f>((M5*L5)+(M6*L6)+(M7*L7)+(M8*L8)+(M9*L9)+(M10*L10)+(M11+L11)+(M12+L12))*-1</f>
        <v>-8299.1500000000015</v>
      </c>
      <c r="N14" s="11"/>
      <c r="O14" s="12"/>
      <c r="P14" s="12"/>
      <c r="Q14" s="8"/>
      <c r="R14" s="11"/>
      <c r="S14" s="3"/>
    </row>
    <row r="15" spans="1:19">
      <c r="A15" s="4"/>
      <c r="B15" s="4"/>
      <c r="C15" s="4"/>
      <c r="D15" s="4"/>
      <c r="E15" s="4"/>
      <c r="F15" s="4"/>
      <c r="G15" s="3"/>
      <c r="H15" s="7" t="s">
        <v>37</v>
      </c>
      <c r="I15" s="9">
        <v>0</v>
      </c>
      <c r="J15" s="3"/>
      <c r="K15" s="3"/>
      <c r="L15" s="12"/>
      <c r="M15" s="8"/>
      <c r="N15" s="11"/>
      <c r="O15" s="12"/>
      <c r="P15" s="12"/>
      <c r="Q15" s="8"/>
      <c r="R15" s="11"/>
      <c r="S15" s="3"/>
    </row>
    <row r="16" spans="1:19">
      <c r="A16" s="4"/>
      <c r="B16" s="4"/>
      <c r="C16" s="4"/>
      <c r="D16" s="4"/>
      <c r="E16" s="4"/>
      <c r="F16" s="4"/>
      <c r="G16" s="3"/>
      <c r="H16" s="7" t="s">
        <v>38</v>
      </c>
      <c r="I16" s="9">
        <v>0</v>
      </c>
      <c r="J16" s="3"/>
      <c r="K16" s="3"/>
      <c r="L16" s="12"/>
      <c r="M16" s="8"/>
      <c r="N16" s="11"/>
      <c r="O16" s="12"/>
      <c r="P16" s="12"/>
      <c r="Q16" s="8"/>
      <c r="R16" s="11"/>
      <c r="S16" s="3"/>
    </row>
    <row r="17" spans="1:19">
      <c r="A17" s="4"/>
      <c r="B17" s="4"/>
      <c r="C17" s="4"/>
      <c r="D17" s="4"/>
      <c r="E17" s="4"/>
      <c r="F17" s="4"/>
      <c r="G17" s="3"/>
      <c r="H17" s="7"/>
      <c r="I17" s="9"/>
      <c r="J17" s="3"/>
      <c r="K17" s="3"/>
      <c r="L17" s="12"/>
      <c r="M17" s="8"/>
      <c r="N17" s="11"/>
      <c r="O17" s="12"/>
      <c r="P17" s="12"/>
      <c r="Q17" s="8"/>
      <c r="R17" s="11"/>
      <c r="S17" s="3"/>
    </row>
    <row r="18" spans="1:19">
      <c r="A18" s="4"/>
      <c r="B18" s="4"/>
      <c r="C18" s="4"/>
      <c r="D18" s="4"/>
      <c r="E18" s="4"/>
      <c r="F18" s="4"/>
      <c r="G18" s="3"/>
      <c r="H18" s="7"/>
      <c r="I18" s="9"/>
      <c r="J18" s="3"/>
      <c r="K18" s="3"/>
      <c r="L18" s="12"/>
      <c r="M18" s="8"/>
      <c r="N18" s="11"/>
      <c r="O18" s="12"/>
      <c r="P18" s="12"/>
      <c r="Q18" s="8"/>
      <c r="R18" s="11"/>
      <c r="S18" s="3"/>
    </row>
    <row r="19" spans="1:19">
      <c r="A19" s="4"/>
      <c r="B19" s="4"/>
      <c r="C19" s="4"/>
      <c r="D19" s="4"/>
      <c r="E19" s="4"/>
      <c r="F19" s="4"/>
      <c r="G19" s="3"/>
      <c r="H19" s="7"/>
      <c r="I19" s="9"/>
      <c r="J19" s="3"/>
      <c r="K19" s="3"/>
      <c r="L19" s="12"/>
      <c r="M19" s="8"/>
      <c r="N19" s="11"/>
      <c r="O19" s="12"/>
      <c r="P19" s="12"/>
      <c r="Q19" s="8"/>
      <c r="R19" s="11"/>
      <c r="S19" s="3"/>
    </row>
    <row r="20" spans="1:19">
      <c r="A20" s="4"/>
      <c r="B20" s="4"/>
      <c r="C20" s="4"/>
      <c r="D20" s="4"/>
      <c r="E20" s="4"/>
      <c r="F20" s="4"/>
      <c r="G20" s="3"/>
      <c r="H20" s="7"/>
      <c r="I20" s="9"/>
      <c r="J20" s="3"/>
      <c r="K20" s="3"/>
      <c r="L20" s="12"/>
      <c r="M20" s="8"/>
      <c r="N20" s="11"/>
      <c r="O20" s="12"/>
      <c r="P20" s="12"/>
      <c r="Q20" s="8"/>
      <c r="R20" s="11"/>
      <c r="S20" s="3"/>
    </row>
    <row r="21" spans="1:19">
      <c r="A21" s="4"/>
      <c r="B21" s="4"/>
      <c r="C21" s="4"/>
      <c r="D21" s="4"/>
      <c r="E21" s="4"/>
      <c r="F21" s="4"/>
      <c r="G21" s="3"/>
      <c r="H21" s="7"/>
      <c r="I21" s="9"/>
      <c r="J21" s="3"/>
      <c r="K21" s="3"/>
      <c r="L21" s="12"/>
      <c r="M21" s="8"/>
      <c r="N21" s="11"/>
      <c r="O21" s="12"/>
      <c r="P21" s="12"/>
      <c r="Q21" s="8"/>
      <c r="R21" s="11"/>
      <c r="S21" s="3"/>
    </row>
    <row r="22" spans="1:19">
      <c r="A22" s="4"/>
      <c r="B22" s="4"/>
      <c r="C22" s="4"/>
      <c r="D22" s="4"/>
      <c r="E22" s="4"/>
      <c r="F22" s="4"/>
      <c r="G22" s="3"/>
      <c r="H22" s="7"/>
      <c r="I22" s="9"/>
      <c r="J22" s="3"/>
      <c r="K22" s="3"/>
      <c r="L22" s="12"/>
      <c r="M22" s="8"/>
      <c r="N22" s="11"/>
      <c r="O22" s="12"/>
      <c r="P22" s="12"/>
      <c r="Q22" s="8"/>
      <c r="R22" s="11"/>
      <c r="S22" s="3"/>
    </row>
    <row r="23" spans="1:19">
      <c r="A23" s="4"/>
      <c r="B23" s="4"/>
      <c r="C23" s="4"/>
      <c r="D23" s="4"/>
      <c r="E23" s="4"/>
      <c r="F23" s="4"/>
      <c r="G23" s="3"/>
      <c r="H23" s="7"/>
      <c r="I23" s="9"/>
      <c r="J23" s="3"/>
      <c r="K23" s="3"/>
      <c r="L23" s="12"/>
      <c r="M23" s="8"/>
      <c r="N23" s="11"/>
      <c r="O23" s="12"/>
      <c r="P23" s="12"/>
      <c r="Q23" s="8"/>
      <c r="R23" s="11"/>
      <c r="S23" s="3"/>
    </row>
    <row r="24" spans="1:19">
      <c r="A24" s="4"/>
      <c r="B24" s="4"/>
      <c r="C24" s="4"/>
      <c r="D24" s="4"/>
      <c r="E24" s="4"/>
      <c r="F24" s="4"/>
      <c r="G24" s="3"/>
      <c r="H24" s="7"/>
      <c r="I24" s="9"/>
      <c r="J24" s="3"/>
      <c r="K24" s="3"/>
      <c r="L24" s="12"/>
      <c r="M24" s="8"/>
      <c r="N24" s="11"/>
      <c r="O24" s="12"/>
      <c r="P24" s="12"/>
      <c r="Q24" s="8"/>
      <c r="R24" s="11"/>
      <c r="S24" s="3"/>
    </row>
    <row r="25" spans="1:19">
      <c r="A25" s="4"/>
      <c r="B25" s="4"/>
      <c r="C25" s="4"/>
      <c r="D25" s="4"/>
      <c r="E25" s="4"/>
      <c r="F25" s="4"/>
      <c r="G25" s="3"/>
      <c r="H25" s="7"/>
      <c r="I25" s="9"/>
      <c r="J25" s="3"/>
      <c r="K25" s="3"/>
      <c r="L25" s="12"/>
      <c r="M25" s="8"/>
      <c r="N25" s="11"/>
      <c r="O25" s="12"/>
      <c r="P25" s="12"/>
      <c r="Q25" s="8"/>
      <c r="R25" s="11"/>
      <c r="S25" s="3"/>
    </row>
    <row r="26" spans="1:19">
      <c r="A26" s="4"/>
      <c r="B26" s="4"/>
      <c r="C26" s="4"/>
      <c r="D26" s="4"/>
      <c r="E26" s="4"/>
      <c r="F26" s="4"/>
      <c r="G26" s="3"/>
      <c r="H26" s="7"/>
      <c r="I26" s="9"/>
      <c r="J26" s="3"/>
      <c r="K26" s="3"/>
      <c r="L26" s="12"/>
      <c r="M26" s="8"/>
      <c r="N26" s="11"/>
      <c r="O26" s="12"/>
      <c r="P26" s="12"/>
      <c r="Q26" s="8"/>
      <c r="R26" s="11"/>
      <c r="S26" s="3"/>
    </row>
    <row r="27" spans="1:19">
      <c r="A27" s="4"/>
      <c r="B27" s="4"/>
      <c r="C27" s="4"/>
      <c r="D27" s="4"/>
      <c r="E27" s="4"/>
      <c r="F27" s="4"/>
      <c r="G27" s="3"/>
      <c r="H27" s="7"/>
      <c r="I27" s="9"/>
      <c r="J27" s="3"/>
      <c r="K27" s="3"/>
      <c r="L27" s="12"/>
      <c r="M27" s="8"/>
      <c r="N27" s="11"/>
      <c r="O27" s="12"/>
      <c r="P27" s="12"/>
      <c r="Q27" s="8"/>
      <c r="R27" s="11"/>
      <c r="S27" s="3"/>
    </row>
    <row r="28" spans="1:19">
      <c r="A28" s="4"/>
      <c r="B28" s="4"/>
      <c r="C28" s="4"/>
      <c r="D28" s="4"/>
      <c r="E28" s="4"/>
      <c r="F28" s="4"/>
      <c r="G28" s="3"/>
      <c r="H28" s="7"/>
      <c r="I28" s="9"/>
      <c r="J28" s="3"/>
      <c r="K28" s="3"/>
      <c r="L28" s="12"/>
      <c r="M28" s="8"/>
      <c r="N28" s="11"/>
      <c r="O28" s="12"/>
      <c r="P28" s="12"/>
      <c r="Q28" s="8"/>
      <c r="R28" s="11"/>
      <c r="S28" s="3"/>
    </row>
    <row r="29" spans="1:19">
      <c r="A29" s="3"/>
      <c r="B29" s="3"/>
      <c r="C29" s="3"/>
      <c r="D29" s="3"/>
      <c r="E29" s="3"/>
      <c r="F29" s="3"/>
      <c r="G29" s="3"/>
      <c r="H29" s="7"/>
      <c r="I29" s="9"/>
      <c r="J29" s="3"/>
      <c r="K29" s="3"/>
      <c r="L29" s="12"/>
      <c r="M29" s="8"/>
      <c r="N29" s="11"/>
      <c r="O29" s="12"/>
      <c r="P29" s="12"/>
      <c r="Q29" s="8"/>
      <c r="R29" s="11"/>
      <c r="S29" s="3"/>
    </row>
    <row r="30" spans="1:19">
      <c r="A30" s="3"/>
      <c r="B30" s="3"/>
      <c r="C30" s="3"/>
      <c r="D30" s="3"/>
      <c r="E30" s="3"/>
      <c r="F30" s="3"/>
      <c r="G30" s="3"/>
      <c r="H30" s="7"/>
      <c r="I30" s="9"/>
      <c r="J30" s="3"/>
      <c r="K30" s="3"/>
      <c r="L30" s="12"/>
      <c r="M30" s="8"/>
      <c r="N30" s="11"/>
      <c r="O30" s="12"/>
      <c r="P30" s="12"/>
      <c r="Q30" s="8"/>
      <c r="R30" s="11"/>
      <c r="S30" s="3"/>
    </row>
    <row r="31" spans="1:19">
      <c r="A31" s="3"/>
      <c r="B31" s="3"/>
      <c r="C31" s="3"/>
      <c r="D31" s="3"/>
      <c r="E31" s="3"/>
      <c r="F31" s="3"/>
      <c r="G31" s="3"/>
      <c r="H31" s="7"/>
      <c r="I31" s="9"/>
      <c r="J31" s="3"/>
      <c r="K31" s="3"/>
      <c r="L31" s="12"/>
      <c r="M31" s="8"/>
      <c r="N31" s="11"/>
      <c r="O31" s="12"/>
      <c r="P31" s="12"/>
      <c r="Q31" s="8"/>
      <c r="R31" s="11"/>
      <c r="S31" s="3"/>
    </row>
    <row r="32" spans="1:19">
      <c r="A32" s="3"/>
      <c r="B32" s="3"/>
      <c r="C32" s="3"/>
      <c r="D32" s="3"/>
      <c r="E32" s="3"/>
      <c r="F32" s="3"/>
      <c r="G32" s="3"/>
      <c r="H32" s="7"/>
      <c r="I32" s="9"/>
      <c r="J32" s="3"/>
      <c r="K32" s="3"/>
      <c r="L32" s="12"/>
      <c r="M32" s="8"/>
      <c r="N32" s="11"/>
      <c r="O32" s="12"/>
      <c r="P32" s="12"/>
      <c r="Q32" s="8"/>
      <c r="R32" s="11"/>
      <c r="S32" s="3"/>
    </row>
    <row r="33" spans="1:19">
      <c r="A33" s="3"/>
      <c r="B33" s="3"/>
      <c r="C33" s="3"/>
      <c r="D33" s="3"/>
      <c r="E33" s="3"/>
      <c r="F33" s="3"/>
      <c r="G33" s="3"/>
      <c r="H33" s="7"/>
      <c r="I33" s="9"/>
      <c r="J33" s="3"/>
      <c r="K33" s="3"/>
      <c r="L33" s="12"/>
      <c r="M33" s="8"/>
      <c r="N33" s="11"/>
      <c r="O33" s="12"/>
      <c r="P33" s="12"/>
      <c r="Q33" s="8"/>
      <c r="R33" s="11"/>
      <c r="S33" s="3"/>
    </row>
    <row r="34" spans="1:19">
      <c r="A34" s="3"/>
      <c r="B34" s="3"/>
      <c r="C34" s="3"/>
      <c r="D34" s="3"/>
      <c r="E34" s="3"/>
      <c r="F34" s="3"/>
      <c r="G34" s="3"/>
      <c r="H34" s="7"/>
      <c r="I34" s="9"/>
      <c r="J34" s="3"/>
      <c r="K34" s="3"/>
      <c r="L34" s="12"/>
      <c r="M34" s="8"/>
      <c r="N34" s="11"/>
      <c r="O34" s="12"/>
      <c r="P34" s="12"/>
      <c r="Q34" s="8"/>
      <c r="R34" s="11"/>
      <c r="S34" s="3"/>
    </row>
    <row r="35" spans="1:19">
      <c r="A35" s="3"/>
      <c r="B35" s="3"/>
      <c r="C35" s="3"/>
      <c r="D35" s="3"/>
      <c r="E35" s="3"/>
      <c r="F35" s="3"/>
      <c r="G35" s="3"/>
      <c r="H35" s="7"/>
      <c r="I35" s="9"/>
      <c r="J35" s="3"/>
      <c r="K35" s="3"/>
      <c r="L35" s="12"/>
      <c r="M35" s="8"/>
      <c r="N35" s="11"/>
      <c r="O35" s="12"/>
      <c r="P35" s="12"/>
      <c r="Q35" s="8"/>
      <c r="R35" s="11"/>
      <c r="S35" s="3"/>
    </row>
    <row r="36" spans="1:19">
      <c r="A36" s="3"/>
      <c r="B36" s="3"/>
      <c r="C36" s="3"/>
      <c r="D36" s="3"/>
      <c r="E36" s="3"/>
      <c r="F36" s="3"/>
      <c r="G36" s="3"/>
      <c r="H36" s="7"/>
      <c r="I36" s="9"/>
      <c r="J36" s="3"/>
      <c r="K36" s="3"/>
      <c r="L36" s="12"/>
      <c r="M36" s="8"/>
      <c r="N36" s="11"/>
      <c r="O36" s="12"/>
      <c r="P36" s="12"/>
      <c r="Q36" s="8"/>
      <c r="R36" s="11"/>
      <c r="S36" s="3"/>
    </row>
    <row r="37" spans="1:19">
      <c r="A37" s="3"/>
      <c r="B37" s="3"/>
      <c r="C37" s="3"/>
      <c r="D37" s="3"/>
      <c r="E37" s="3"/>
      <c r="F37" s="3"/>
      <c r="G37" s="3"/>
      <c r="H37" s="7"/>
      <c r="I37" s="9"/>
      <c r="J37" s="3"/>
      <c r="K37" s="3"/>
      <c r="L37" s="12"/>
      <c r="M37" s="8"/>
      <c r="N37" s="11"/>
      <c r="O37" s="12"/>
      <c r="P37" s="12"/>
      <c r="Q37" s="8"/>
      <c r="R37" s="11"/>
      <c r="S37" s="3"/>
    </row>
    <row r="38" spans="1:19">
      <c r="A38" s="3"/>
      <c r="B38" s="3"/>
      <c r="C38" s="3"/>
      <c r="D38" s="3"/>
      <c r="E38" s="3"/>
      <c r="F38" s="3"/>
      <c r="G38" s="3"/>
      <c r="H38" s="7"/>
      <c r="I38" s="9"/>
      <c r="J38" s="3"/>
      <c r="K38" s="3"/>
      <c r="L38" s="12"/>
      <c r="M38" s="8"/>
      <c r="N38" s="11"/>
      <c r="O38" s="12"/>
      <c r="P38" s="12"/>
      <c r="Q38" s="8"/>
      <c r="R38" s="11"/>
      <c r="S38" s="3"/>
    </row>
    <row r="39" spans="1:19">
      <c r="A39" s="3"/>
      <c r="B39" s="3"/>
      <c r="C39" s="3"/>
      <c r="D39" s="3"/>
      <c r="E39" s="3"/>
      <c r="F39" s="3"/>
      <c r="G39" s="3"/>
      <c r="H39" s="7"/>
      <c r="I39" s="9"/>
      <c r="J39" s="3"/>
      <c r="K39" s="3"/>
      <c r="L39" s="12"/>
      <c r="M39" s="8"/>
      <c r="N39" s="11"/>
      <c r="O39" s="12"/>
      <c r="P39" s="12"/>
      <c r="Q39" s="8"/>
      <c r="R39" s="11"/>
      <c r="S39" s="3"/>
    </row>
    <row r="40" spans="1:19">
      <c r="A40" s="3"/>
      <c r="B40" s="3"/>
      <c r="C40" s="3"/>
      <c r="D40" s="3"/>
      <c r="E40" s="3"/>
      <c r="F40" s="3"/>
      <c r="G40" s="3"/>
      <c r="H40" s="7"/>
      <c r="I40" s="9"/>
      <c r="J40" s="3"/>
      <c r="K40" s="3"/>
      <c r="L40" s="12"/>
      <c r="M40" s="8"/>
      <c r="N40" s="11"/>
      <c r="O40" s="12"/>
      <c r="P40" s="12"/>
      <c r="Q40" s="8"/>
      <c r="R40" s="11"/>
      <c r="S40" s="3"/>
    </row>
    <row r="41" spans="1:19">
      <c r="A41" s="3"/>
      <c r="B41" s="3"/>
      <c r="C41" s="3"/>
      <c r="D41" s="3"/>
      <c r="E41" s="3"/>
      <c r="F41" s="3"/>
      <c r="G41" s="3"/>
      <c r="H41" s="7"/>
      <c r="I41" s="9"/>
      <c r="J41" s="3"/>
      <c r="K41" s="3"/>
      <c r="L41" s="12"/>
      <c r="M41" s="8"/>
      <c r="N41" s="11"/>
      <c r="O41" s="12"/>
      <c r="P41" s="12"/>
      <c r="Q41" s="8"/>
      <c r="R41" s="11"/>
      <c r="S41" s="3"/>
    </row>
  </sheetData>
  <mergeCells count="9">
    <mergeCell ref="P1:R1"/>
    <mergeCell ref="P2:R2"/>
    <mergeCell ref="A1:E1"/>
    <mergeCell ref="A2:E2"/>
    <mergeCell ref="E5:E6"/>
    <mergeCell ref="H2:I2"/>
    <mergeCell ref="L2:N2"/>
    <mergeCell ref="L1:N1"/>
    <mergeCell ref="H1:I1"/>
  </mergeCells>
  <conditionalFormatting sqref="A2:F3">
    <cfRule type="cellIs" dxfId="12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C0647-7192-46EF-A974-254E47735CDF}">
  <dimension ref="A1:S41"/>
  <sheetViews>
    <sheetView showGridLines="0" zoomScaleNormal="100" workbookViewId="0">
      <selection activeCell="A12" sqref="A12:F37"/>
    </sheetView>
  </sheetViews>
  <sheetFormatPr defaultColWidth="13.28515625" defaultRowHeight="15"/>
  <cols>
    <col min="1" max="1" width="15.28515625" style="1" bestFit="1" customWidth="1"/>
    <col min="2" max="2" width="13.28515625" style="1"/>
    <col min="3" max="3" width="15" style="1" bestFit="1" customWidth="1"/>
    <col min="4" max="4" width="13.28515625" style="1"/>
    <col min="5" max="5" width="17.5703125" style="30" bestFit="1" customWidth="1"/>
    <col min="6" max="6" width="17.5703125" style="1" customWidth="1"/>
    <col min="7" max="7" width="13.28515625" style="1" customWidth="1"/>
    <col min="8" max="8" width="17.85546875" style="1" bestFit="1" customWidth="1"/>
    <col min="9" max="9" width="12" style="1" bestFit="1" customWidth="1"/>
    <col min="10" max="12" width="9.140625" style="1"/>
    <col min="13" max="13" width="12.85546875" style="1" bestFit="1" customWidth="1"/>
    <col min="14" max="14" width="15.42578125" style="1" bestFit="1" customWidth="1"/>
    <col min="15" max="16384" width="13.28515625" style="1"/>
  </cols>
  <sheetData>
    <row r="1" spans="1:19" ht="33" customHeight="1">
      <c r="A1" s="103" t="s">
        <v>0</v>
      </c>
      <c r="B1" s="103"/>
      <c r="C1" s="103"/>
      <c r="D1" s="103"/>
      <c r="E1" s="103"/>
      <c r="F1" s="81"/>
      <c r="G1" s="6"/>
      <c r="H1" s="103" t="s">
        <v>1</v>
      </c>
      <c r="I1" s="103"/>
      <c r="J1" s="6"/>
      <c r="K1" s="6"/>
      <c r="L1" s="103" t="s">
        <v>2</v>
      </c>
      <c r="M1" s="103"/>
      <c r="N1" s="103"/>
      <c r="O1" s="6"/>
      <c r="P1" s="103" t="s">
        <v>3</v>
      </c>
      <c r="Q1" s="103"/>
      <c r="R1" s="103"/>
      <c r="S1" s="6"/>
    </row>
    <row r="2" spans="1:19" ht="18">
      <c r="A2" s="105">
        <f>E7+P2</f>
        <v>2363.9899999999998</v>
      </c>
      <c r="B2" s="105"/>
      <c r="C2" s="105"/>
      <c r="D2" s="105"/>
      <c r="E2" s="105"/>
      <c r="F2" s="83"/>
      <c r="G2" s="5"/>
      <c r="H2" s="107">
        <f>SUM(I4:I11)*-1</f>
        <v>-3183</v>
      </c>
      <c r="I2" s="107"/>
      <c r="J2" s="5"/>
      <c r="K2" s="5"/>
      <c r="L2" s="108">
        <f>SUM(M5:M12)*-1</f>
        <v>-2416.0100000000002</v>
      </c>
      <c r="M2" s="108"/>
      <c r="N2" s="108"/>
      <c r="O2" s="21"/>
      <c r="P2" s="104">
        <f>SUM(H2:N2)</f>
        <v>-5599.01</v>
      </c>
      <c r="Q2" s="104"/>
      <c r="R2" s="104"/>
      <c r="S2" s="5"/>
    </row>
    <row r="3" spans="1:19" ht="16.5" customHeight="1">
      <c r="A3" s="83"/>
      <c r="B3" s="83"/>
      <c r="C3" s="83"/>
      <c r="D3" s="83"/>
      <c r="E3" s="31"/>
      <c r="F3" s="83"/>
      <c r="G3" s="5"/>
      <c r="H3" s="84"/>
      <c r="I3" s="84"/>
      <c r="J3" s="2" t="s">
        <v>4</v>
      </c>
      <c r="K3" s="5"/>
      <c r="L3" s="85"/>
      <c r="M3" s="85"/>
      <c r="N3" s="85"/>
      <c r="O3" s="82"/>
      <c r="P3" s="82"/>
      <c r="Q3" s="82"/>
      <c r="R3" s="82"/>
      <c r="S3" s="5"/>
    </row>
    <row r="4" spans="1:19">
      <c r="A4" s="2"/>
      <c r="B4" s="2" t="s">
        <v>5</v>
      </c>
      <c r="C4" s="2" t="s">
        <v>6</v>
      </c>
      <c r="D4" s="2" t="s">
        <v>7</v>
      </c>
      <c r="E4" s="26" t="s">
        <v>8</v>
      </c>
      <c r="F4" s="2" t="s">
        <v>9</v>
      </c>
      <c r="G4" s="2"/>
      <c r="H4" s="7" t="s">
        <v>10</v>
      </c>
      <c r="I4" s="9">
        <v>1457.8</v>
      </c>
      <c r="J4" s="27" t="s">
        <v>11</v>
      </c>
      <c r="K4" s="2"/>
      <c r="L4" s="2" t="s">
        <v>12</v>
      </c>
      <c r="M4" s="2" t="s">
        <v>13</v>
      </c>
      <c r="N4" s="2" t="s">
        <v>14</v>
      </c>
      <c r="O4" s="2" t="s">
        <v>4</v>
      </c>
      <c r="P4" s="2"/>
      <c r="Q4" s="13" t="s">
        <v>15</v>
      </c>
      <c r="R4" s="22" t="s">
        <v>16</v>
      </c>
      <c r="S4" s="2"/>
    </row>
    <row r="5" spans="1:19">
      <c r="A5" s="14" t="s">
        <v>17</v>
      </c>
      <c r="B5" s="20">
        <v>3500</v>
      </c>
      <c r="C5" s="20">
        <f>B5-D5</f>
        <v>673</v>
      </c>
      <c r="D5" s="20">
        <v>2827</v>
      </c>
      <c r="E5" s="109">
        <v>1500</v>
      </c>
      <c r="F5" s="16">
        <f>IF(A2&gt;0,A2/2,"R$ 0,00")</f>
        <v>1181.9949999999999</v>
      </c>
      <c r="G5" s="3"/>
      <c r="H5" s="7" t="s">
        <v>18</v>
      </c>
      <c r="I5" s="9">
        <v>129.9</v>
      </c>
      <c r="J5" s="27" t="s">
        <v>11</v>
      </c>
      <c r="K5" s="3"/>
      <c r="L5" s="2">
        <v>6</v>
      </c>
      <c r="M5" s="8">
        <f>564.08+424.11</f>
        <v>988.19</v>
      </c>
      <c r="N5" s="11" t="s">
        <v>39</v>
      </c>
      <c r="O5" s="27" t="s">
        <v>11</v>
      </c>
      <c r="P5" s="12"/>
      <c r="Q5" s="23">
        <f>SUMIF(J:J,"ok",I:I)+SUMIF(O:O,"ok",M:M)</f>
        <v>5599.01</v>
      </c>
      <c r="R5" s="17">
        <f>P2+Q5</f>
        <v>0</v>
      </c>
      <c r="S5" s="3"/>
    </row>
    <row r="6" spans="1:19">
      <c r="A6" s="14" t="s">
        <v>20</v>
      </c>
      <c r="B6" s="20">
        <v>4692</v>
      </c>
      <c r="C6" s="20">
        <f>B6-D6</f>
        <v>1056</v>
      </c>
      <c r="D6" s="20">
        <v>3636</v>
      </c>
      <c r="E6" s="109"/>
      <c r="F6" s="16">
        <f>F5</f>
        <v>1181.9949999999999</v>
      </c>
      <c r="G6" s="3"/>
      <c r="H6" s="7" t="s">
        <v>21</v>
      </c>
      <c r="I6" s="9">
        <v>94.08</v>
      </c>
      <c r="J6" s="27" t="s">
        <v>11</v>
      </c>
      <c r="K6" s="3"/>
      <c r="L6" s="2">
        <v>8</v>
      </c>
      <c r="M6" s="8">
        <v>394.3</v>
      </c>
      <c r="N6" s="11" t="s">
        <v>40</v>
      </c>
      <c r="O6" s="27" t="s">
        <v>11</v>
      </c>
      <c r="P6" s="12"/>
      <c r="Q6" s="8"/>
      <c r="R6" s="11"/>
      <c r="S6" s="3"/>
    </row>
    <row r="7" spans="1:19">
      <c r="A7" s="14" t="s">
        <v>3</v>
      </c>
      <c r="B7" s="18"/>
      <c r="C7" s="18"/>
      <c r="D7" s="19"/>
      <c r="E7" s="86">
        <f>D5+D6+E5</f>
        <v>7963</v>
      </c>
      <c r="F7" s="15"/>
      <c r="G7" s="3"/>
      <c r="H7" s="7" t="s">
        <v>41</v>
      </c>
      <c r="I7" s="9">
        <v>600</v>
      </c>
      <c r="J7" s="27" t="s">
        <v>11</v>
      </c>
      <c r="K7" s="3"/>
      <c r="L7" s="2">
        <v>1</v>
      </c>
      <c r="M7" s="8">
        <v>1033.52</v>
      </c>
      <c r="N7" s="11" t="s">
        <v>42</v>
      </c>
      <c r="O7" s="27" t="s">
        <v>11</v>
      </c>
      <c r="P7" s="12"/>
      <c r="Q7" s="8"/>
      <c r="R7" s="11"/>
      <c r="S7" s="3"/>
    </row>
    <row r="8" spans="1:19">
      <c r="A8" s="14" t="s">
        <v>43</v>
      </c>
      <c r="B8" s="18"/>
      <c r="C8" s="18"/>
      <c r="D8" s="18"/>
      <c r="E8" s="86"/>
      <c r="F8" s="4"/>
      <c r="G8" s="3"/>
      <c r="H8" s="7" t="s">
        <v>29</v>
      </c>
      <c r="I8" s="9">
        <v>120</v>
      </c>
      <c r="J8" s="27" t="s">
        <v>11</v>
      </c>
      <c r="K8" s="3"/>
      <c r="L8" s="2"/>
      <c r="M8" s="8"/>
      <c r="N8" s="11"/>
      <c r="O8" s="12"/>
      <c r="P8" s="12"/>
      <c r="Q8" s="8"/>
      <c r="R8" s="11"/>
      <c r="S8" s="3"/>
    </row>
    <row r="9" spans="1:19">
      <c r="A9" s="4"/>
      <c r="B9" s="18"/>
      <c r="C9" s="18"/>
      <c r="D9" s="18"/>
      <c r="E9" s="29"/>
      <c r="F9" s="4"/>
      <c r="G9" s="3"/>
      <c r="H9" s="7" t="s">
        <v>44</v>
      </c>
      <c r="I9" s="9">
        <v>390.97</v>
      </c>
      <c r="J9" s="27" t="s">
        <v>11</v>
      </c>
      <c r="K9" s="3"/>
      <c r="L9" s="2"/>
      <c r="M9" s="8"/>
      <c r="N9" s="11"/>
      <c r="O9" s="12"/>
      <c r="P9" s="12"/>
      <c r="Q9" s="8"/>
      <c r="R9" s="11"/>
      <c r="S9" s="3"/>
    </row>
    <row r="10" spans="1:19">
      <c r="A10" s="4"/>
      <c r="B10" s="4"/>
      <c r="C10" s="4"/>
      <c r="D10" s="4"/>
      <c r="E10" s="29"/>
      <c r="F10" s="4"/>
      <c r="G10" s="3"/>
      <c r="H10" s="7" t="s">
        <v>33</v>
      </c>
      <c r="I10" s="9">
        <v>140.25</v>
      </c>
      <c r="J10" s="27" t="s">
        <v>11</v>
      </c>
      <c r="K10" s="3"/>
      <c r="L10" s="2"/>
      <c r="M10" s="8"/>
      <c r="N10" s="11"/>
      <c r="O10" s="12"/>
      <c r="P10" s="12"/>
      <c r="Q10" s="8"/>
      <c r="R10" s="11"/>
      <c r="S10" s="3"/>
    </row>
    <row r="11" spans="1:19">
      <c r="A11" s="4"/>
      <c r="B11" s="4"/>
      <c r="C11" s="4"/>
      <c r="D11" s="4"/>
      <c r="E11" s="29"/>
      <c r="F11" s="4"/>
      <c r="G11" s="3"/>
      <c r="H11" s="7" t="s">
        <v>38</v>
      </c>
      <c r="I11" s="9">
        <v>250</v>
      </c>
      <c r="J11" s="27" t="s">
        <v>11</v>
      </c>
      <c r="K11" s="3"/>
      <c r="L11" s="2"/>
      <c r="M11" s="8"/>
      <c r="N11" s="11"/>
      <c r="O11" s="12"/>
      <c r="P11" s="12"/>
      <c r="Q11" s="8"/>
      <c r="R11" s="11"/>
      <c r="S11" s="3"/>
    </row>
    <row r="12" spans="1:19">
      <c r="A12" s="4"/>
      <c r="B12" s="4"/>
      <c r="C12" s="4"/>
      <c r="D12" s="4"/>
      <c r="E12" s="29"/>
      <c r="F12" s="4"/>
      <c r="G12" s="3"/>
      <c r="H12" s="7"/>
      <c r="I12" s="9"/>
      <c r="J12" s="27"/>
      <c r="K12" s="3"/>
      <c r="L12" s="2"/>
      <c r="M12" s="8"/>
      <c r="N12" s="11"/>
      <c r="O12" s="12"/>
      <c r="P12" s="12"/>
      <c r="Q12" s="8"/>
      <c r="R12" s="11"/>
      <c r="S12" s="3"/>
    </row>
    <row r="13" spans="1:19">
      <c r="A13" s="4"/>
      <c r="B13" s="4"/>
      <c r="C13" s="25"/>
      <c r="D13" s="4"/>
      <c r="E13" s="29"/>
      <c r="F13" s="4"/>
      <c r="G13" s="3"/>
      <c r="H13" s="7"/>
      <c r="I13" s="9"/>
      <c r="J13" s="27"/>
      <c r="K13" s="3"/>
      <c r="L13" s="12"/>
      <c r="M13" s="8"/>
      <c r="N13" s="11"/>
      <c r="O13" s="12"/>
      <c r="P13" s="12"/>
      <c r="Q13" s="8"/>
      <c r="R13" s="11"/>
      <c r="S13" s="3"/>
    </row>
    <row r="14" spans="1:19">
      <c r="A14" s="4"/>
      <c r="B14" s="4"/>
      <c r="C14" s="25"/>
      <c r="D14" s="4"/>
      <c r="E14" s="29"/>
      <c r="F14" s="4"/>
      <c r="G14" s="3"/>
      <c r="H14" s="7"/>
      <c r="I14" s="9"/>
      <c r="J14" s="27"/>
      <c r="K14" s="3"/>
      <c r="L14" s="2" t="s">
        <v>3</v>
      </c>
      <c r="M14" s="17">
        <f>((M5*L5)+(M6*L6)+(M7*L7)+(M8*L8)+(M9*L9)+(M10*L10)+(M11+L11)+(M12+L12))*-1</f>
        <v>-10117.060000000001</v>
      </c>
      <c r="N14" s="11"/>
      <c r="O14" s="12"/>
      <c r="P14" s="12"/>
      <c r="Q14" s="8"/>
      <c r="R14" s="11"/>
      <c r="S14" s="3"/>
    </row>
    <row r="15" spans="1:19">
      <c r="A15" s="4"/>
      <c r="B15" s="4"/>
      <c r="C15" s="25"/>
      <c r="D15" s="4"/>
      <c r="E15" s="29"/>
      <c r="F15" s="4"/>
      <c r="G15" s="3"/>
      <c r="H15" s="7"/>
      <c r="I15" s="9"/>
      <c r="J15" s="27"/>
      <c r="K15" s="3"/>
      <c r="L15" s="12"/>
      <c r="M15" s="8"/>
      <c r="N15" s="11"/>
      <c r="O15" s="12"/>
      <c r="P15" s="12"/>
      <c r="Q15" s="8"/>
      <c r="R15" s="11"/>
      <c r="S15" s="3"/>
    </row>
    <row r="16" spans="1:19">
      <c r="A16" s="4"/>
      <c r="B16" s="4"/>
      <c r="C16" s="25"/>
      <c r="D16" s="4"/>
      <c r="E16" s="29"/>
      <c r="F16" s="4"/>
      <c r="G16" s="3"/>
      <c r="H16" s="7"/>
      <c r="I16" s="9"/>
      <c r="J16" s="27"/>
      <c r="K16" s="3"/>
      <c r="L16" s="12"/>
      <c r="M16" s="8"/>
      <c r="N16" s="11"/>
      <c r="O16" s="12"/>
      <c r="P16" s="12"/>
      <c r="Q16" s="8"/>
      <c r="R16" s="11"/>
      <c r="S16" s="3"/>
    </row>
    <row r="17" spans="1:19">
      <c r="A17" s="4"/>
      <c r="B17" s="4"/>
      <c r="C17" s="25"/>
      <c r="D17" s="4"/>
      <c r="E17" s="29"/>
      <c r="F17" s="4"/>
      <c r="G17" s="3"/>
      <c r="H17" s="7"/>
      <c r="I17" s="9"/>
      <c r="J17" s="27"/>
      <c r="K17" s="3"/>
      <c r="L17" s="12"/>
      <c r="M17" s="8"/>
      <c r="N17" s="11"/>
      <c r="O17" s="12"/>
      <c r="P17" s="12"/>
      <c r="Q17" s="8"/>
      <c r="R17" s="11"/>
      <c r="S17" s="3"/>
    </row>
    <row r="18" spans="1:19">
      <c r="A18" s="4"/>
      <c r="B18" s="4"/>
      <c r="C18" s="25"/>
      <c r="D18" s="4"/>
      <c r="E18" s="29"/>
      <c r="F18" s="4"/>
      <c r="G18" s="3"/>
      <c r="H18" s="7"/>
      <c r="I18" s="9"/>
      <c r="J18" s="27"/>
      <c r="K18" s="3"/>
      <c r="L18" s="12"/>
      <c r="M18" s="8"/>
      <c r="N18" s="11"/>
      <c r="O18" s="12"/>
      <c r="P18" s="12"/>
      <c r="Q18" s="8"/>
      <c r="R18" s="11"/>
      <c r="S18" s="3"/>
    </row>
    <row r="19" spans="1:19">
      <c r="A19" s="4"/>
      <c r="B19" s="4"/>
      <c r="C19" s="25"/>
      <c r="D19" s="4"/>
      <c r="E19" s="29"/>
      <c r="F19" s="4"/>
      <c r="G19" s="3"/>
      <c r="H19" s="7"/>
      <c r="I19" s="9"/>
      <c r="J19" s="27"/>
      <c r="K19" s="3"/>
      <c r="L19" s="12"/>
      <c r="M19" s="8"/>
      <c r="N19" s="11"/>
      <c r="O19" s="12"/>
      <c r="P19" s="12"/>
      <c r="Q19" s="8"/>
      <c r="R19" s="11"/>
      <c r="S19" s="3"/>
    </row>
    <row r="20" spans="1:19">
      <c r="A20" s="4"/>
      <c r="B20" s="4"/>
      <c r="C20" s="25"/>
      <c r="D20" s="4"/>
      <c r="E20" s="29"/>
      <c r="F20" s="4"/>
      <c r="G20" s="3"/>
      <c r="H20" s="7"/>
      <c r="I20" s="9"/>
      <c r="J20" s="27"/>
      <c r="K20" s="3"/>
      <c r="L20" s="12"/>
      <c r="M20" s="8"/>
      <c r="N20" s="11"/>
      <c r="O20" s="12"/>
      <c r="P20" s="12"/>
      <c r="Q20" s="8"/>
      <c r="R20" s="11"/>
      <c r="S20" s="3"/>
    </row>
    <row r="21" spans="1:19">
      <c r="A21" s="4"/>
      <c r="B21" s="4"/>
      <c r="C21" s="25"/>
      <c r="D21" s="4"/>
      <c r="E21" s="29"/>
      <c r="F21" s="4"/>
      <c r="G21" s="3"/>
      <c r="H21" s="7"/>
      <c r="I21" s="87"/>
      <c r="J21" s="27"/>
      <c r="K21" s="3"/>
      <c r="L21" s="12"/>
      <c r="M21" s="8"/>
      <c r="N21" s="11"/>
      <c r="O21" s="12"/>
      <c r="P21" s="12"/>
      <c r="Q21" s="8"/>
      <c r="R21" s="11"/>
      <c r="S21" s="3"/>
    </row>
    <row r="22" spans="1:19">
      <c r="A22" s="4"/>
      <c r="B22" s="4"/>
      <c r="C22" s="4"/>
      <c r="D22" s="4"/>
      <c r="E22" s="29"/>
      <c r="F22" s="4"/>
      <c r="G22" s="3"/>
      <c r="H22" s="7"/>
      <c r="I22" s="9"/>
      <c r="J22" s="27"/>
      <c r="K22" s="3"/>
      <c r="L22" s="12"/>
      <c r="M22" s="8"/>
      <c r="N22" s="11"/>
      <c r="O22" s="12"/>
      <c r="P22" s="12"/>
      <c r="Q22" s="8"/>
      <c r="R22" s="11"/>
      <c r="S22" s="3"/>
    </row>
    <row r="23" spans="1:19">
      <c r="A23" s="4"/>
      <c r="B23" s="4"/>
      <c r="C23" s="4"/>
      <c r="D23" s="4"/>
      <c r="E23" s="29"/>
      <c r="F23" s="4"/>
      <c r="G23" s="3"/>
      <c r="H23" s="7"/>
      <c r="I23" s="9"/>
      <c r="J23" s="27"/>
      <c r="K23" s="3"/>
      <c r="L23" s="12"/>
      <c r="M23" s="8"/>
      <c r="N23" s="11"/>
      <c r="O23" s="12"/>
      <c r="P23" s="12"/>
      <c r="Q23" s="8"/>
      <c r="R23" s="11"/>
      <c r="S23" s="3"/>
    </row>
    <row r="24" spans="1:19">
      <c r="A24" s="4"/>
      <c r="B24" s="4"/>
      <c r="C24" s="4"/>
      <c r="D24" s="4"/>
      <c r="E24" s="29"/>
      <c r="F24" s="4"/>
      <c r="G24" s="3"/>
      <c r="H24" s="7"/>
      <c r="I24" s="9"/>
      <c r="J24" s="27"/>
      <c r="K24" s="3"/>
      <c r="L24" s="12"/>
      <c r="M24" s="8"/>
      <c r="N24" s="11"/>
      <c r="O24" s="24"/>
      <c r="P24" s="12"/>
      <c r="Q24" s="8"/>
      <c r="R24" s="11"/>
      <c r="S24" s="3"/>
    </row>
    <row r="25" spans="1:19">
      <c r="A25" s="4"/>
      <c r="B25" s="4"/>
      <c r="C25" s="4"/>
      <c r="D25" s="4"/>
      <c r="E25" s="29"/>
      <c r="F25" s="4"/>
      <c r="G25" s="3"/>
      <c r="H25" s="7"/>
      <c r="I25" s="9"/>
      <c r="J25" s="27"/>
      <c r="K25" s="3"/>
      <c r="L25" s="12"/>
      <c r="M25" s="8"/>
      <c r="N25" s="11"/>
      <c r="O25" s="12"/>
      <c r="P25" s="12"/>
      <c r="Q25" s="8"/>
      <c r="R25" s="11"/>
      <c r="S25" s="3"/>
    </row>
    <row r="26" spans="1:19">
      <c r="A26" s="4"/>
      <c r="B26" s="4"/>
      <c r="C26" s="4"/>
      <c r="D26" s="4"/>
      <c r="E26" s="29"/>
      <c r="F26" s="4"/>
      <c r="G26" s="3"/>
      <c r="H26" s="7"/>
      <c r="I26" s="9"/>
      <c r="J26" s="27"/>
      <c r="K26" s="3"/>
      <c r="L26" s="12"/>
      <c r="M26" s="8"/>
      <c r="N26" s="11"/>
      <c r="O26" s="24"/>
      <c r="P26" s="12"/>
      <c r="Q26" s="8"/>
      <c r="R26" s="11"/>
      <c r="S26" s="3"/>
    </row>
    <row r="27" spans="1:19">
      <c r="A27" s="4"/>
      <c r="B27" s="4"/>
      <c r="C27" s="4"/>
      <c r="D27" s="4"/>
      <c r="E27" s="29"/>
      <c r="F27" s="4"/>
      <c r="G27" s="3"/>
      <c r="H27" s="7"/>
      <c r="I27" s="9"/>
      <c r="J27" s="27"/>
      <c r="K27" s="3"/>
      <c r="L27" s="12"/>
      <c r="M27" s="8"/>
      <c r="N27" s="11"/>
      <c r="O27" s="12"/>
      <c r="P27" s="12"/>
      <c r="Q27" s="8"/>
      <c r="R27" s="11"/>
      <c r="S27" s="3"/>
    </row>
    <row r="28" spans="1:19">
      <c r="A28" s="4"/>
      <c r="B28" s="4"/>
      <c r="C28" s="4"/>
      <c r="D28" s="4"/>
      <c r="E28" s="29"/>
      <c r="F28" s="4"/>
      <c r="G28" s="3"/>
      <c r="H28" s="7"/>
      <c r="I28" s="9"/>
      <c r="J28" s="27"/>
      <c r="K28" s="3"/>
      <c r="L28" s="12"/>
      <c r="M28" s="8"/>
      <c r="N28" s="11"/>
      <c r="O28" s="12"/>
      <c r="P28" s="12"/>
      <c r="Q28" s="8"/>
      <c r="R28" s="11"/>
      <c r="S28" s="3"/>
    </row>
    <row r="29" spans="1:19">
      <c r="A29" s="3"/>
      <c r="B29" s="4"/>
      <c r="C29" s="3"/>
      <c r="D29" s="3"/>
      <c r="E29" s="28"/>
      <c r="F29" s="3"/>
      <c r="G29" s="3"/>
      <c r="H29" s="7"/>
      <c r="I29" s="9"/>
      <c r="J29" s="27"/>
      <c r="K29" s="3"/>
      <c r="L29" s="12"/>
      <c r="M29" s="8"/>
      <c r="N29" s="11"/>
      <c r="O29" s="12"/>
      <c r="P29" s="12"/>
      <c r="Q29" s="8"/>
      <c r="R29" s="11"/>
      <c r="S29" s="3"/>
    </row>
    <row r="30" spans="1:19">
      <c r="A30" s="3"/>
      <c r="B30" s="4"/>
      <c r="C30" s="3"/>
      <c r="D30" s="3"/>
      <c r="E30" s="28"/>
      <c r="F30" s="3"/>
      <c r="G30" s="3"/>
      <c r="H30" s="7"/>
      <c r="I30" s="9"/>
      <c r="J30" s="27"/>
      <c r="K30" s="3"/>
      <c r="L30" s="12"/>
      <c r="M30" s="8"/>
      <c r="N30" s="11"/>
      <c r="O30" s="12"/>
      <c r="P30" s="12"/>
      <c r="Q30" s="8"/>
      <c r="R30" s="11"/>
      <c r="S30" s="3"/>
    </row>
    <row r="31" spans="1:19">
      <c r="A31" s="3"/>
      <c r="B31" s="4"/>
      <c r="C31" s="3"/>
      <c r="D31" s="3"/>
      <c r="E31" s="28"/>
      <c r="F31" s="3"/>
      <c r="G31" s="3"/>
      <c r="H31" s="7"/>
      <c r="I31" s="9"/>
      <c r="J31" s="27"/>
      <c r="K31" s="3"/>
      <c r="L31" s="12"/>
      <c r="M31" s="8"/>
      <c r="N31" s="11"/>
      <c r="O31" s="12"/>
      <c r="P31" s="12"/>
      <c r="Q31" s="8"/>
      <c r="R31" s="11"/>
      <c r="S31" s="3"/>
    </row>
    <row r="32" spans="1:19">
      <c r="A32" s="3"/>
      <c r="B32" s="4"/>
      <c r="C32" s="3"/>
      <c r="D32" s="3"/>
      <c r="E32" s="28"/>
      <c r="F32" s="3"/>
      <c r="G32" s="3"/>
      <c r="H32" s="7"/>
      <c r="I32" s="9"/>
      <c r="J32" s="27"/>
      <c r="K32" s="3"/>
      <c r="L32" s="12"/>
      <c r="M32" s="8"/>
      <c r="N32" s="11"/>
      <c r="O32" s="12"/>
      <c r="P32" s="12"/>
      <c r="Q32" s="8"/>
      <c r="R32" s="11"/>
      <c r="S32" s="3"/>
    </row>
    <row r="33" spans="1:19">
      <c r="A33" s="3"/>
      <c r="B33" s="4"/>
      <c r="C33" s="3"/>
      <c r="D33" s="3"/>
      <c r="E33" s="28"/>
      <c r="F33" s="3"/>
      <c r="G33" s="3"/>
      <c r="H33" s="7"/>
      <c r="I33" s="9"/>
      <c r="J33" s="27"/>
      <c r="K33" s="3"/>
      <c r="L33" s="12"/>
      <c r="M33" s="8"/>
      <c r="N33" s="11"/>
      <c r="O33" s="12"/>
      <c r="P33" s="12"/>
      <c r="Q33" s="8"/>
      <c r="R33" s="11"/>
      <c r="S33" s="3"/>
    </row>
    <row r="34" spans="1:19">
      <c r="A34" s="3"/>
      <c r="B34" s="4"/>
      <c r="C34" s="3"/>
      <c r="D34" s="3"/>
      <c r="E34" s="28"/>
      <c r="F34" s="3"/>
      <c r="G34" s="3"/>
      <c r="H34" s="7"/>
      <c r="I34" s="9"/>
      <c r="J34" s="27"/>
      <c r="K34" s="3"/>
      <c r="L34" s="12"/>
      <c r="M34" s="8"/>
      <c r="N34" s="11"/>
      <c r="O34" s="12"/>
      <c r="P34" s="12"/>
      <c r="Q34" s="8"/>
      <c r="R34" s="11"/>
      <c r="S34" s="3"/>
    </row>
    <row r="35" spans="1:19">
      <c r="A35" s="3"/>
      <c r="B35" s="4"/>
      <c r="C35" s="3"/>
      <c r="D35" s="3"/>
      <c r="E35" s="28"/>
      <c r="F35" s="3"/>
      <c r="G35" s="3"/>
      <c r="H35" s="7"/>
      <c r="I35" s="9"/>
      <c r="J35" s="27"/>
      <c r="K35" s="3"/>
      <c r="L35" s="12"/>
      <c r="M35" s="8"/>
      <c r="N35" s="11"/>
      <c r="O35" s="12"/>
      <c r="P35" s="12"/>
      <c r="Q35" s="8"/>
      <c r="R35" s="11"/>
      <c r="S35" s="3"/>
    </row>
    <row r="36" spans="1:19">
      <c r="A36" s="3"/>
      <c r="B36" s="4"/>
      <c r="C36" s="3"/>
      <c r="D36" s="3"/>
      <c r="E36" s="28"/>
      <c r="F36" s="3"/>
      <c r="G36" s="3"/>
      <c r="H36" s="7"/>
      <c r="I36" s="9"/>
      <c r="J36" s="27"/>
      <c r="K36" s="3"/>
      <c r="L36" s="12"/>
      <c r="M36" s="8"/>
      <c r="N36" s="11"/>
      <c r="O36" s="12"/>
      <c r="P36" s="12"/>
      <c r="Q36" s="8"/>
      <c r="R36" s="11"/>
      <c r="S36" s="3"/>
    </row>
    <row r="37" spans="1:19">
      <c r="A37" s="3"/>
      <c r="B37" s="4"/>
      <c r="C37" s="3"/>
      <c r="D37" s="3"/>
      <c r="E37" s="28"/>
      <c r="F37" s="3"/>
      <c r="G37" s="3"/>
      <c r="H37" s="7"/>
      <c r="I37" s="9"/>
      <c r="J37" s="27"/>
      <c r="K37" s="3"/>
      <c r="L37" s="12"/>
      <c r="M37" s="8"/>
      <c r="N37" s="11"/>
      <c r="O37" s="12"/>
      <c r="P37" s="12"/>
      <c r="Q37" s="8"/>
      <c r="R37" s="11"/>
      <c r="S37" s="3"/>
    </row>
    <row r="38" spans="1:19">
      <c r="A38" s="3"/>
      <c r="B38" s="4"/>
      <c r="C38" s="3"/>
      <c r="D38" s="3"/>
      <c r="E38" s="28"/>
      <c r="F38" s="3"/>
      <c r="G38" s="3"/>
      <c r="H38" s="7"/>
      <c r="I38" s="9"/>
      <c r="J38" s="27"/>
      <c r="K38" s="3"/>
      <c r="L38" s="12"/>
      <c r="M38" s="8"/>
      <c r="N38" s="11"/>
      <c r="O38" s="12"/>
      <c r="P38" s="12"/>
      <c r="Q38" s="8"/>
      <c r="R38" s="11"/>
      <c r="S38" s="3"/>
    </row>
    <row r="39" spans="1:19">
      <c r="A39" s="3"/>
      <c r="B39" s="4"/>
      <c r="C39" s="3"/>
      <c r="D39" s="3"/>
      <c r="E39" s="28"/>
      <c r="F39" s="3"/>
      <c r="G39" s="3"/>
      <c r="H39" s="7"/>
      <c r="I39" s="9"/>
      <c r="J39" s="27"/>
      <c r="K39" s="3"/>
      <c r="L39" s="12"/>
      <c r="M39" s="8"/>
      <c r="N39" s="11"/>
      <c r="O39" s="12"/>
      <c r="P39" s="12"/>
      <c r="Q39" s="8"/>
      <c r="R39" s="11"/>
      <c r="S39" s="3"/>
    </row>
    <row r="40" spans="1:19">
      <c r="A40" s="3"/>
      <c r="B40" s="4"/>
      <c r="C40" s="3"/>
      <c r="D40" s="3"/>
      <c r="E40" s="28"/>
      <c r="F40" s="3"/>
      <c r="G40" s="3"/>
      <c r="H40" s="7"/>
      <c r="I40" s="9"/>
      <c r="J40" s="27"/>
      <c r="K40" s="3"/>
      <c r="L40" s="12"/>
      <c r="M40" s="8"/>
      <c r="N40" s="11"/>
      <c r="O40" s="12"/>
      <c r="P40" s="12"/>
      <c r="Q40" s="8"/>
      <c r="R40" s="11"/>
      <c r="S40" s="3"/>
    </row>
    <row r="41" spans="1:19">
      <c r="A41" s="3"/>
      <c r="B41" s="4"/>
      <c r="C41" s="3"/>
      <c r="D41" s="3"/>
      <c r="E41" s="28"/>
      <c r="F41" s="3"/>
      <c r="G41" s="3"/>
      <c r="H41" s="7"/>
      <c r="I41" s="9"/>
      <c r="J41" s="27"/>
      <c r="K41" s="3"/>
      <c r="L41" s="12"/>
      <c r="M41" s="8"/>
      <c r="N41" s="11"/>
      <c r="O41" s="12"/>
      <c r="P41" s="12"/>
      <c r="Q41" s="8"/>
      <c r="R41" s="11"/>
      <c r="S41" s="3"/>
    </row>
  </sheetData>
  <mergeCells count="9">
    <mergeCell ref="E5:E6"/>
    <mergeCell ref="A1:E1"/>
    <mergeCell ref="H1:I1"/>
    <mergeCell ref="L1:N1"/>
    <mergeCell ref="P1:R1"/>
    <mergeCell ref="A2:E2"/>
    <mergeCell ref="H2:I2"/>
    <mergeCell ref="L2:N2"/>
    <mergeCell ref="P2:R2"/>
  </mergeCells>
  <conditionalFormatting sqref="A2:F3">
    <cfRule type="cellIs" dxfId="11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18552-C7C2-453B-8655-A265B6C344C7}">
  <dimension ref="A1:S42"/>
  <sheetViews>
    <sheetView showGridLines="0" zoomScaleNormal="100" workbookViewId="0">
      <selection activeCell="F10" sqref="F10"/>
    </sheetView>
  </sheetViews>
  <sheetFormatPr defaultColWidth="13.28515625" defaultRowHeight="15"/>
  <cols>
    <col min="1" max="1" width="15.28515625" style="1" bestFit="1" customWidth="1"/>
    <col min="2" max="2" width="12" style="1" bestFit="1" customWidth="1"/>
    <col min="3" max="3" width="15" style="1" bestFit="1" customWidth="1"/>
    <col min="4" max="4" width="12" style="1" bestFit="1" customWidth="1"/>
    <col min="5" max="5" width="17.5703125" style="1" bestFit="1" customWidth="1"/>
    <col min="6" max="6" width="17.5703125" style="1" customWidth="1"/>
    <col min="7" max="7" width="13.28515625" style="1" customWidth="1"/>
    <col min="8" max="8" width="17.85546875" style="1" bestFit="1" customWidth="1"/>
    <col min="9" max="9" width="12" style="1" bestFit="1" customWidth="1"/>
    <col min="10" max="12" width="9.140625" style="1"/>
    <col min="13" max="13" width="12.85546875" style="1" bestFit="1" customWidth="1"/>
    <col min="14" max="14" width="15.42578125" style="1" bestFit="1" customWidth="1"/>
    <col min="15" max="16384" width="13.28515625" style="1"/>
  </cols>
  <sheetData>
    <row r="1" spans="1:19" ht="33" customHeight="1">
      <c r="A1" s="103" t="s">
        <v>0</v>
      </c>
      <c r="B1" s="103"/>
      <c r="C1" s="103"/>
      <c r="D1" s="103"/>
      <c r="E1" s="103"/>
      <c r="F1" s="81"/>
      <c r="G1" s="6"/>
      <c r="H1" s="103" t="s">
        <v>1</v>
      </c>
      <c r="I1" s="103"/>
      <c r="J1" s="6"/>
      <c r="K1" s="6"/>
      <c r="L1" s="103" t="s">
        <v>2</v>
      </c>
      <c r="M1" s="103"/>
      <c r="N1" s="103"/>
      <c r="O1" s="6"/>
      <c r="P1" s="103" t="s">
        <v>3</v>
      </c>
      <c r="Q1" s="103"/>
      <c r="R1" s="103"/>
      <c r="S1" s="6"/>
    </row>
    <row r="2" spans="1:19" ht="18">
      <c r="A2" s="105">
        <f>E7+P2</f>
        <v>1655.5699999999997</v>
      </c>
      <c r="B2" s="105"/>
      <c r="C2" s="105"/>
      <c r="D2" s="105"/>
      <c r="E2" s="105"/>
      <c r="F2" s="83"/>
      <c r="G2" s="5"/>
      <c r="H2" s="107">
        <f>SUM(I4:I12)*-1</f>
        <v>-3203.64</v>
      </c>
      <c r="I2" s="107"/>
      <c r="J2" s="5"/>
      <c r="K2" s="5"/>
      <c r="L2" s="108">
        <f>SUM(M5:M13)*-1</f>
        <v>-1163.79</v>
      </c>
      <c r="M2" s="108"/>
      <c r="N2" s="108"/>
      <c r="O2" s="21"/>
      <c r="P2" s="104">
        <f>SUM(H2:N2)</f>
        <v>-4367.43</v>
      </c>
      <c r="Q2" s="104"/>
      <c r="R2" s="104"/>
      <c r="S2" s="5"/>
    </row>
    <row r="3" spans="1:19" ht="16.5" customHeight="1">
      <c r="A3" s="83"/>
      <c r="B3" s="83"/>
      <c r="C3" s="83"/>
      <c r="D3" s="83"/>
      <c r="E3" s="83"/>
      <c r="F3" s="83"/>
      <c r="G3" s="5"/>
      <c r="H3" s="84"/>
      <c r="I3" s="84"/>
      <c r="J3" s="2" t="s">
        <v>4</v>
      </c>
      <c r="K3" s="5"/>
      <c r="L3" s="85"/>
      <c r="M3" s="85"/>
      <c r="N3" s="85"/>
      <c r="O3" s="82"/>
      <c r="P3" s="82"/>
      <c r="Q3" s="82"/>
      <c r="R3" s="82"/>
      <c r="S3" s="5"/>
    </row>
    <row r="4" spans="1:19">
      <c r="A4" s="2"/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/>
      <c r="H4" s="7" t="s">
        <v>10</v>
      </c>
      <c r="I4" s="9">
        <v>1407.25</v>
      </c>
      <c r="J4" s="27" t="s">
        <v>11</v>
      </c>
      <c r="K4" s="2"/>
      <c r="L4" s="2" t="s">
        <v>12</v>
      </c>
      <c r="M4" s="2" t="s">
        <v>13</v>
      </c>
      <c r="N4" s="2" t="s">
        <v>14</v>
      </c>
      <c r="O4" s="2" t="s">
        <v>4</v>
      </c>
      <c r="P4" s="2"/>
      <c r="Q4" s="13" t="s">
        <v>15</v>
      </c>
      <c r="R4" s="22" t="s">
        <v>16</v>
      </c>
      <c r="S4" s="2"/>
    </row>
    <row r="5" spans="1:19">
      <c r="A5" s="14" t="s">
        <v>17</v>
      </c>
      <c r="B5" s="20">
        <v>3500</v>
      </c>
      <c r="C5" s="20">
        <f>B5-D5</f>
        <v>1172</v>
      </c>
      <c r="D5" s="20">
        <v>2328</v>
      </c>
      <c r="E5" s="106"/>
      <c r="F5" s="16">
        <f>IF(A2&gt;0,A2/2,"R$ 0,00")</f>
        <v>827.78499999999985</v>
      </c>
      <c r="G5" s="3"/>
      <c r="H5" s="7" t="s">
        <v>18</v>
      </c>
      <c r="I5" s="9">
        <v>129.9</v>
      </c>
      <c r="J5" s="27" t="s">
        <v>11</v>
      </c>
      <c r="K5" s="3"/>
      <c r="L5" s="2">
        <v>5</v>
      </c>
      <c r="M5" s="8">
        <v>563.20000000000005</v>
      </c>
      <c r="N5" s="11" t="s">
        <v>39</v>
      </c>
      <c r="O5" s="27" t="s">
        <v>11</v>
      </c>
      <c r="P5" s="12"/>
      <c r="Q5" s="23">
        <f>SUMIF(J:J,"ok",I:I)+SUMIF(O:O,"ok",M:M)</f>
        <v>4367.43</v>
      </c>
      <c r="R5" s="17">
        <f>P2+Q5</f>
        <v>0</v>
      </c>
      <c r="S5" s="3"/>
    </row>
    <row r="6" spans="1:19">
      <c r="A6" s="14" t="s">
        <v>20</v>
      </c>
      <c r="B6" s="20">
        <v>4692</v>
      </c>
      <c r="C6" s="20">
        <f>B6-D6</f>
        <v>997</v>
      </c>
      <c r="D6" s="20">
        <v>3695</v>
      </c>
      <c r="E6" s="106"/>
      <c r="F6" s="16">
        <f>F5</f>
        <v>827.78499999999985</v>
      </c>
      <c r="G6" s="3"/>
      <c r="H6" s="7" t="s">
        <v>21</v>
      </c>
      <c r="I6" s="9">
        <v>56.81</v>
      </c>
      <c r="J6" s="27" t="s">
        <v>11</v>
      </c>
      <c r="K6" s="3"/>
      <c r="L6" s="2">
        <v>7</v>
      </c>
      <c r="M6" s="8">
        <v>600.59</v>
      </c>
      <c r="N6" s="11" t="s">
        <v>45</v>
      </c>
      <c r="O6" s="27" t="s">
        <v>11</v>
      </c>
      <c r="P6" s="12"/>
      <c r="Q6" s="8"/>
      <c r="R6" s="11"/>
      <c r="S6" s="3"/>
    </row>
    <row r="7" spans="1:19">
      <c r="A7" s="14" t="s">
        <v>3</v>
      </c>
      <c r="B7" s="18"/>
      <c r="C7" s="18"/>
      <c r="D7" s="19"/>
      <c r="E7" s="20">
        <f>D5+D6+E5</f>
        <v>6023</v>
      </c>
      <c r="F7" s="15"/>
      <c r="G7" s="3"/>
      <c r="H7" s="7" t="s">
        <v>41</v>
      </c>
      <c r="I7" s="9">
        <v>700</v>
      </c>
      <c r="J7" s="27" t="s">
        <v>11</v>
      </c>
      <c r="K7" s="3"/>
      <c r="L7" s="2"/>
      <c r="M7" s="8"/>
      <c r="N7" s="11"/>
      <c r="O7" s="27"/>
      <c r="P7" s="12"/>
      <c r="Q7" s="8"/>
      <c r="R7" s="11"/>
      <c r="S7" s="3"/>
    </row>
    <row r="8" spans="1:19">
      <c r="A8" s="14"/>
      <c r="B8" s="18"/>
      <c r="C8" s="18"/>
      <c r="D8" s="19"/>
      <c r="E8" s="20"/>
      <c r="F8" s="15"/>
      <c r="G8" s="3"/>
      <c r="H8" s="7" t="s">
        <v>46</v>
      </c>
      <c r="I8" s="9">
        <v>65.5</v>
      </c>
      <c r="J8" s="27" t="s">
        <v>11</v>
      </c>
      <c r="K8" s="3"/>
      <c r="L8" s="2"/>
      <c r="M8" s="8"/>
      <c r="N8" s="11"/>
      <c r="O8" s="27"/>
      <c r="P8" s="12"/>
      <c r="Q8" s="8"/>
      <c r="R8" s="11"/>
      <c r="S8" s="3"/>
    </row>
    <row r="9" spans="1:19">
      <c r="A9" s="14"/>
      <c r="B9" s="18"/>
      <c r="C9" s="18"/>
      <c r="D9" s="18"/>
      <c r="E9" s="20"/>
      <c r="F9" s="4"/>
      <c r="G9" s="3"/>
      <c r="H9" s="7" t="s">
        <v>47</v>
      </c>
      <c r="I9" s="9">
        <v>62.9</v>
      </c>
      <c r="J9" s="27" t="s">
        <v>11</v>
      </c>
      <c r="K9" s="3"/>
      <c r="L9" s="2"/>
      <c r="M9" s="8"/>
      <c r="N9" s="11"/>
      <c r="O9" s="12"/>
      <c r="P9" s="12"/>
      <c r="Q9" s="8"/>
      <c r="R9" s="11"/>
      <c r="S9" s="3"/>
    </row>
    <row r="10" spans="1:19">
      <c r="A10" s="4"/>
      <c r="B10" s="18"/>
      <c r="C10" s="18"/>
      <c r="D10" s="18"/>
      <c r="E10" s="18"/>
      <c r="F10" s="4"/>
      <c r="G10" s="3"/>
      <c r="H10" s="7" t="s">
        <v>44</v>
      </c>
      <c r="I10" s="9">
        <v>430.29</v>
      </c>
      <c r="J10" s="27" t="s">
        <v>11</v>
      </c>
      <c r="K10" s="3"/>
      <c r="L10" s="2"/>
      <c r="M10" s="8"/>
      <c r="N10" s="11"/>
      <c r="O10" s="12"/>
      <c r="P10" s="12"/>
      <c r="Q10" s="8"/>
      <c r="R10" s="11"/>
      <c r="S10" s="3"/>
    </row>
    <row r="11" spans="1:19">
      <c r="A11" s="4"/>
      <c r="B11" s="4"/>
      <c r="C11" s="4"/>
      <c r="D11" s="4"/>
      <c r="E11" s="4"/>
      <c r="F11" s="4"/>
      <c r="G11" s="3"/>
      <c r="H11" s="7" t="s">
        <v>33</v>
      </c>
      <c r="I11" s="9">
        <v>100.99</v>
      </c>
      <c r="J11" s="27" t="s">
        <v>11</v>
      </c>
      <c r="K11" s="3"/>
      <c r="L11" s="2"/>
      <c r="M11" s="8"/>
      <c r="N11" s="11"/>
      <c r="O11" s="12"/>
      <c r="P11" s="12"/>
      <c r="Q11" s="8"/>
      <c r="R11" s="11"/>
      <c r="S11" s="3"/>
    </row>
    <row r="12" spans="1:19">
      <c r="A12" s="4"/>
      <c r="B12" s="4"/>
      <c r="C12" s="4"/>
      <c r="D12" s="4"/>
      <c r="E12" s="4"/>
      <c r="F12" s="4"/>
      <c r="G12" s="3"/>
      <c r="H12" s="7" t="s">
        <v>38</v>
      </c>
      <c r="I12" s="9">
        <v>250</v>
      </c>
      <c r="J12" s="27" t="s">
        <v>11</v>
      </c>
      <c r="K12" s="3"/>
      <c r="L12" s="2"/>
      <c r="M12" s="8"/>
      <c r="N12" s="11"/>
      <c r="O12" s="12"/>
      <c r="P12" s="12"/>
      <c r="Q12" s="8"/>
      <c r="R12" s="11"/>
      <c r="S12" s="3"/>
    </row>
    <row r="13" spans="1:19">
      <c r="A13" s="4"/>
      <c r="B13" s="4"/>
      <c r="C13" s="4"/>
      <c r="D13" s="4"/>
      <c r="E13" s="4"/>
      <c r="F13" s="4"/>
      <c r="G13" s="3"/>
      <c r="H13" s="7"/>
      <c r="I13" s="9"/>
      <c r="J13" s="27"/>
      <c r="K13" s="3"/>
      <c r="L13" s="2"/>
      <c r="M13" s="8"/>
      <c r="N13" s="11"/>
      <c r="O13" s="12"/>
      <c r="P13" s="12"/>
      <c r="Q13" s="8"/>
      <c r="R13" s="11"/>
      <c r="S13" s="3"/>
    </row>
    <row r="14" spans="1:19">
      <c r="A14" s="4"/>
      <c r="B14" s="4"/>
      <c r="C14" s="25"/>
      <c r="D14" s="4"/>
      <c r="E14" s="4"/>
      <c r="F14" s="4"/>
      <c r="G14" s="3"/>
      <c r="H14" s="7"/>
      <c r="I14" s="9"/>
      <c r="J14" s="27"/>
      <c r="K14" s="3"/>
      <c r="L14" s="12"/>
      <c r="M14" s="8"/>
      <c r="N14" s="11"/>
      <c r="O14" s="12"/>
      <c r="P14" s="12"/>
      <c r="Q14" s="8"/>
      <c r="R14" s="11"/>
      <c r="S14" s="3"/>
    </row>
    <row r="15" spans="1:19">
      <c r="A15" s="4"/>
      <c r="B15" s="4"/>
      <c r="C15" s="25"/>
      <c r="D15" s="4"/>
      <c r="E15" s="18"/>
      <c r="F15" s="4"/>
      <c r="G15" s="3"/>
      <c r="H15" s="7"/>
      <c r="I15" s="9"/>
      <c r="J15" s="27"/>
      <c r="K15" s="3"/>
      <c r="L15" s="2" t="s">
        <v>3</v>
      </c>
      <c r="M15" s="17">
        <f>((M5*L5)+(M6*L6)+(M7*L7)+(M9*L9)+(M10*L10)+(M11*L11)+(M12+L12)+(M13+L13))*-1</f>
        <v>-7020.13</v>
      </c>
      <c r="N15" s="11"/>
      <c r="O15" s="12"/>
      <c r="P15" s="12"/>
      <c r="Q15" s="8"/>
      <c r="R15" s="11"/>
      <c r="S15" s="3"/>
    </row>
    <row r="16" spans="1:19">
      <c r="A16" s="4"/>
      <c r="B16" s="4"/>
      <c r="C16" s="25"/>
      <c r="D16" s="4"/>
      <c r="E16" s="18"/>
      <c r="F16" s="4"/>
      <c r="G16" s="3"/>
      <c r="H16" s="7"/>
      <c r="I16" s="9"/>
      <c r="J16" s="27"/>
      <c r="K16" s="3"/>
      <c r="L16" s="12"/>
      <c r="M16" s="8"/>
      <c r="N16" s="11"/>
      <c r="O16" s="12"/>
      <c r="P16" s="12"/>
      <c r="Q16" s="8"/>
      <c r="R16" s="11"/>
      <c r="S16" s="3"/>
    </row>
    <row r="17" spans="1:19">
      <c r="A17" s="4"/>
      <c r="B17" s="4"/>
      <c r="C17" s="25"/>
      <c r="D17" s="4"/>
      <c r="E17" s="18"/>
      <c r="F17" s="4"/>
      <c r="G17" s="3"/>
      <c r="H17" s="7"/>
      <c r="I17" s="9"/>
      <c r="J17" s="27"/>
      <c r="K17" s="3"/>
      <c r="L17" s="12"/>
      <c r="M17" s="8"/>
      <c r="N17" s="11"/>
      <c r="O17" s="12"/>
      <c r="P17" s="12"/>
      <c r="Q17" s="8"/>
      <c r="R17" s="11"/>
      <c r="S17" s="3"/>
    </row>
    <row r="18" spans="1:19">
      <c r="A18" s="4"/>
      <c r="B18" s="4"/>
      <c r="C18" s="25"/>
      <c r="D18" s="4"/>
      <c r="E18" s="18"/>
      <c r="F18" s="4"/>
      <c r="G18" s="3"/>
      <c r="H18" s="7"/>
      <c r="I18" s="9"/>
      <c r="J18" s="27"/>
      <c r="K18" s="3"/>
      <c r="L18" s="12"/>
      <c r="M18" s="8"/>
      <c r="N18" s="11"/>
      <c r="O18" s="12"/>
      <c r="P18" s="12"/>
      <c r="Q18" s="8"/>
      <c r="R18" s="11"/>
      <c r="S18" s="3"/>
    </row>
    <row r="19" spans="1:19">
      <c r="A19" s="4"/>
      <c r="B19" s="4"/>
      <c r="C19" s="25"/>
      <c r="D19" s="4"/>
      <c r="E19" s="18"/>
      <c r="F19" s="4"/>
      <c r="G19" s="3"/>
      <c r="H19" s="7"/>
      <c r="I19" s="9"/>
      <c r="J19" s="27"/>
      <c r="K19" s="3"/>
      <c r="L19" s="12"/>
      <c r="M19" s="8"/>
      <c r="N19" s="11"/>
      <c r="O19" s="12"/>
      <c r="P19" s="12"/>
      <c r="Q19" s="8"/>
      <c r="R19" s="11"/>
      <c r="S19" s="3"/>
    </row>
    <row r="20" spans="1:19">
      <c r="A20" s="4"/>
      <c r="B20" s="4"/>
      <c r="C20" s="25"/>
      <c r="D20" s="4"/>
      <c r="E20" s="18"/>
      <c r="F20" s="4"/>
      <c r="G20" s="3"/>
      <c r="H20" s="7"/>
      <c r="I20" s="9"/>
      <c r="J20" s="27"/>
      <c r="K20" s="3"/>
      <c r="L20" s="12"/>
      <c r="M20" s="8"/>
      <c r="N20" s="11"/>
      <c r="O20" s="12"/>
      <c r="P20" s="12"/>
      <c r="Q20" s="8"/>
      <c r="R20" s="11"/>
      <c r="S20" s="3"/>
    </row>
    <row r="21" spans="1:19">
      <c r="A21" s="4"/>
      <c r="B21" s="4"/>
      <c r="C21" s="25"/>
      <c r="D21" s="4"/>
      <c r="E21" s="18"/>
      <c r="F21" s="4"/>
      <c r="G21" s="3"/>
      <c r="H21" s="7"/>
      <c r="I21" s="9"/>
      <c r="J21" s="27"/>
      <c r="K21" s="3"/>
      <c r="L21" s="12"/>
      <c r="M21" s="8"/>
      <c r="N21" s="11"/>
      <c r="O21" s="12"/>
      <c r="P21" s="12"/>
      <c r="Q21" s="8"/>
      <c r="R21" s="11"/>
      <c r="S21" s="3"/>
    </row>
    <row r="22" spans="1:19">
      <c r="A22" s="4"/>
      <c r="B22" s="4"/>
      <c r="C22" s="25"/>
      <c r="D22" s="4"/>
      <c r="E22" s="18"/>
      <c r="F22" s="4"/>
      <c r="G22" s="3"/>
      <c r="H22" s="7"/>
      <c r="I22" s="9"/>
      <c r="J22" s="27"/>
      <c r="K22" s="3"/>
      <c r="L22" s="12"/>
      <c r="M22" s="8"/>
      <c r="N22" s="11"/>
      <c r="O22" s="12"/>
      <c r="P22" s="12"/>
      <c r="Q22" s="8"/>
      <c r="R22" s="11"/>
      <c r="S22" s="3"/>
    </row>
    <row r="23" spans="1:19">
      <c r="A23" s="4"/>
      <c r="B23" s="4"/>
      <c r="C23" s="4"/>
      <c r="D23" s="4"/>
      <c r="E23" s="4"/>
      <c r="F23" s="4"/>
      <c r="G23" s="3"/>
      <c r="H23" s="7"/>
      <c r="I23" s="9"/>
      <c r="J23" s="27"/>
      <c r="K23" s="3"/>
      <c r="L23" s="12"/>
      <c r="M23" s="8"/>
      <c r="N23" s="11"/>
      <c r="O23" s="12"/>
      <c r="P23" s="12"/>
      <c r="Q23" s="8"/>
      <c r="R23" s="11"/>
      <c r="S23" s="3"/>
    </row>
    <row r="24" spans="1:19">
      <c r="A24" s="4"/>
      <c r="B24" s="4"/>
      <c r="C24" s="4"/>
      <c r="D24" s="4"/>
      <c r="E24" s="4"/>
      <c r="F24" s="4"/>
      <c r="G24" s="3"/>
      <c r="H24" s="7"/>
      <c r="I24" s="9"/>
      <c r="J24" s="27"/>
      <c r="K24" s="3"/>
      <c r="L24" s="12"/>
      <c r="M24" s="8"/>
      <c r="N24" s="11"/>
      <c r="O24" s="12"/>
      <c r="P24" s="12"/>
      <c r="Q24" s="8"/>
      <c r="R24" s="11"/>
      <c r="S24" s="3"/>
    </row>
    <row r="25" spans="1:19">
      <c r="A25" s="4"/>
      <c r="B25" s="4"/>
      <c r="C25" s="4"/>
      <c r="D25" s="4"/>
      <c r="E25" s="4"/>
      <c r="F25" s="4"/>
      <c r="G25" s="3"/>
      <c r="H25" s="7"/>
      <c r="I25" s="9"/>
      <c r="J25" s="27"/>
      <c r="K25" s="3"/>
      <c r="L25" s="12"/>
      <c r="M25" s="8"/>
      <c r="N25" s="11"/>
      <c r="O25" s="24"/>
      <c r="P25" s="12"/>
      <c r="Q25" s="8"/>
      <c r="R25" s="11"/>
      <c r="S25" s="3"/>
    </row>
    <row r="26" spans="1:19">
      <c r="A26" s="4"/>
      <c r="B26" s="4"/>
      <c r="C26" s="4"/>
      <c r="D26" s="4"/>
      <c r="E26" s="4"/>
      <c r="F26" s="4"/>
      <c r="G26" s="3"/>
      <c r="H26" s="7"/>
      <c r="I26" s="9"/>
      <c r="J26" s="27"/>
      <c r="K26" s="3"/>
      <c r="L26" s="12"/>
      <c r="M26" s="8"/>
      <c r="N26" s="11"/>
      <c r="O26" s="12"/>
      <c r="P26" s="12"/>
      <c r="Q26" s="8"/>
      <c r="R26" s="11"/>
      <c r="S26" s="3"/>
    </row>
    <row r="27" spans="1:19">
      <c r="A27" s="4"/>
      <c r="B27" s="4"/>
      <c r="C27" s="4"/>
      <c r="D27" s="4"/>
      <c r="E27" s="4"/>
      <c r="F27" s="4"/>
      <c r="G27" s="3"/>
      <c r="H27" s="7"/>
      <c r="I27" s="9"/>
      <c r="J27" s="27"/>
      <c r="K27" s="3"/>
      <c r="L27" s="12"/>
      <c r="M27" s="8"/>
      <c r="N27" s="11"/>
      <c r="O27" s="24"/>
      <c r="P27" s="12"/>
      <c r="Q27" s="8"/>
      <c r="R27" s="11"/>
      <c r="S27" s="3"/>
    </row>
    <row r="28" spans="1:19">
      <c r="A28" s="4"/>
      <c r="B28" s="4"/>
      <c r="C28" s="4"/>
      <c r="D28" s="4"/>
      <c r="E28" s="4"/>
      <c r="F28" s="4"/>
      <c r="G28" s="3"/>
      <c r="H28" s="7"/>
      <c r="I28" s="9"/>
      <c r="J28" s="27"/>
      <c r="K28" s="3"/>
      <c r="L28" s="12"/>
      <c r="M28" s="8"/>
      <c r="N28" s="11"/>
      <c r="O28" s="12"/>
      <c r="P28" s="12"/>
      <c r="Q28" s="8"/>
      <c r="R28" s="11"/>
      <c r="S28" s="3"/>
    </row>
    <row r="29" spans="1:19">
      <c r="A29" s="4"/>
      <c r="B29" s="4"/>
      <c r="C29" s="4"/>
      <c r="D29" s="4"/>
      <c r="E29" s="4"/>
      <c r="F29" s="4"/>
      <c r="G29" s="3"/>
      <c r="H29" s="7"/>
      <c r="I29" s="9"/>
      <c r="J29" s="27"/>
      <c r="K29" s="3"/>
      <c r="L29" s="12"/>
      <c r="M29" s="8"/>
      <c r="N29" s="11"/>
      <c r="O29" s="12"/>
      <c r="P29" s="12"/>
      <c r="Q29" s="8"/>
      <c r="R29" s="11"/>
      <c r="S29" s="3"/>
    </row>
    <row r="30" spans="1:19">
      <c r="A30" s="3"/>
      <c r="B30" s="4"/>
      <c r="C30" s="3"/>
      <c r="D30" s="3"/>
      <c r="E30" s="3"/>
      <c r="F30" s="3"/>
      <c r="G30" s="3"/>
      <c r="H30" s="7"/>
      <c r="I30" s="9"/>
      <c r="J30" s="27"/>
      <c r="K30" s="3"/>
      <c r="L30" s="12"/>
      <c r="M30" s="8"/>
      <c r="N30" s="11"/>
      <c r="O30" s="12"/>
      <c r="P30" s="12"/>
      <c r="Q30" s="8"/>
      <c r="R30" s="11"/>
      <c r="S30" s="3"/>
    </row>
    <row r="31" spans="1:19">
      <c r="A31" s="3"/>
      <c r="B31" s="4"/>
      <c r="C31" s="3"/>
      <c r="D31" s="3"/>
      <c r="E31" s="3"/>
      <c r="F31" s="3"/>
      <c r="G31" s="3"/>
      <c r="H31" s="7"/>
      <c r="I31" s="9"/>
      <c r="J31" s="27"/>
      <c r="K31" s="3"/>
      <c r="L31" s="12"/>
      <c r="M31" s="8"/>
      <c r="N31" s="11"/>
      <c r="O31" s="12"/>
      <c r="P31" s="12"/>
      <c r="Q31" s="8"/>
      <c r="R31" s="11"/>
      <c r="S31" s="3"/>
    </row>
    <row r="32" spans="1:19">
      <c r="A32" s="3"/>
      <c r="B32" s="4"/>
      <c r="C32" s="3"/>
      <c r="D32" s="3"/>
      <c r="E32" s="3"/>
      <c r="F32" s="3"/>
      <c r="G32" s="3"/>
      <c r="H32" s="7"/>
      <c r="I32" s="9"/>
      <c r="J32" s="27"/>
      <c r="K32" s="3"/>
      <c r="L32" s="12"/>
      <c r="M32" s="8"/>
      <c r="N32" s="11"/>
      <c r="O32" s="12"/>
      <c r="P32" s="12"/>
      <c r="Q32" s="8"/>
      <c r="R32" s="11"/>
      <c r="S32" s="3"/>
    </row>
    <row r="33" spans="1:19">
      <c r="A33" s="3"/>
      <c r="B33" s="4"/>
      <c r="C33" s="3"/>
      <c r="D33" s="3"/>
      <c r="E33" s="3"/>
      <c r="F33" s="3"/>
      <c r="G33" s="3"/>
      <c r="H33" s="7"/>
      <c r="I33" s="9"/>
      <c r="J33" s="27"/>
      <c r="K33" s="3"/>
      <c r="L33" s="12"/>
      <c r="M33" s="8"/>
      <c r="N33" s="11"/>
      <c r="O33" s="12"/>
      <c r="P33" s="12"/>
      <c r="Q33" s="8"/>
      <c r="R33" s="11"/>
      <c r="S33" s="3"/>
    </row>
    <row r="34" spans="1:19">
      <c r="A34" s="3"/>
      <c r="B34" s="4"/>
      <c r="C34" s="3"/>
      <c r="D34" s="3"/>
      <c r="E34" s="3"/>
      <c r="F34" s="3"/>
      <c r="G34" s="3"/>
      <c r="H34" s="7"/>
      <c r="I34" s="9"/>
      <c r="J34" s="27"/>
      <c r="K34" s="3"/>
      <c r="L34" s="12"/>
      <c r="M34" s="8"/>
      <c r="N34" s="11"/>
      <c r="O34" s="12"/>
      <c r="P34" s="12"/>
      <c r="Q34" s="8"/>
      <c r="R34" s="11"/>
      <c r="S34" s="3"/>
    </row>
    <row r="35" spans="1:19">
      <c r="A35" s="3"/>
      <c r="B35" s="4"/>
      <c r="C35" s="3"/>
      <c r="D35" s="3"/>
      <c r="E35" s="3"/>
      <c r="F35" s="3"/>
      <c r="G35" s="3"/>
      <c r="H35" s="7"/>
      <c r="I35" s="9"/>
      <c r="J35" s="3"/>
      <c r="K35" s="3"/>
      <c r="L35" s="12"/>
      <c r="M35" s="8"/>
      <c r="N35" s="11"/>
      <c r="O35" s="12"/>
      <c r="P35" s="12"/>
      <c r="Q35" s="8"/>
      <c r="R35" s="11"/>
      <c r="S35" s="3"/>
    </row>
    <row r="36" spans="1:19">
      <c r="A36" s="3"/>
      <c r="B36" s="4"/>
      <c r="C36" s="3"/>
      <c r="D36" s="3"/>
      <c r="E36" s="3"/>
      <c r="F36" s="3"/>
      <c r="G36" s="3"/>
      <c r="H36" s="7"/>
      <c r="I36" s="9"/>
      <c r="J36" s="3"/>
      <c r="K36" s="3"/>
      <c r="L36" s="12"/>
      <c r="M36" s="8"/>
      <c r="N36" s="11"/>
      <c r="O36" s="12"/>
      <c r="P36" s="12"/>
      <c r="Q36" s="8"/>
      <c r="R36" s="11"/>
      <c r="S36" s="3"/>
    </row>
    <row r="37" spans="1:19">
      <c r="A37" s="3"/>
      <c r="B37" s="4"/>
      <c r="C37" s="3"/>
      <c r="D37" s="3"/>
      <c r="E37" s="3"/>
      <c r="F37" s="3"/>
      <c r="G37" s="3"/>
      <c r="H37" s="7"/>
      <c r="I37" s="9"/>
      <c r="J37" s="3"/>
      <c r="K37" s="3"/>
      <c r="L37" s="12"/>
      <c r="M37" s="8"/>
      <c r="N37" s="11"/>
      <c r="O37" s="12"/>
      <c r="P37" s="12"/>
      <c r="Q37" s="8"/>
      <c r="R37" s="11"/>
      <c r="S37" s="3"/>
    </row>
    <row r="38" spans="1:19">
      <c r="A38" s="3"/>
      <c r="B38" s="4"/>
      <c r="C38" s="3"/>
      <c r="D38" s="3"/>
      <c r="E38" s="3"/>
      <c r="F38" s="3"/>
      <c r="G38" s="3"/>
      <c r="H38" s="7"/>
      <c r="I38" s="9"/>
      <c r="J38" s="3"/>
      <c r="K38" s="3"/>
      <c r="L38" s="12"/>
      <c r="M38" s="8"/>
      <c r="N38" s="11"/>
      <c r="O38" s="12"/>
      <c r="P38" s="12"/>
      <c r="Q38" s="8"/>
      <c r="R38" s="11"/>
      <c r="S38" s="3"/>
    </row>
    <row r="39" spans="1:19">
      <c r="A39" s="3"/>
      <c r="B39" s="4"/>
      <c r="C39" s="3"/>
      <c r="D39" s="3"/>
      <c r="E39" s="3"/>
      <c r="F39" s="3"/>
      <c r="G39" s="3"/>
      <c r="H39" s="7"/>
      <c r="I39" s="9"/>
      <c r="J39" s="3"/>
      <c r="K39" s="3"/>
      <c r="L39" s="12"/>
      <c r="M39" s="8"/>
      <c r="N39" s="11"/>
      <c r="O39" s="12"/>
      <c r="P39" s="12"/>
      <c r="Q39" s="8"/>
      <c r="R39" s="11"/>
      <c r="S39" s="3"/>
    </row>
    <row r="40" spans="1:19">
      <c r="A40" s="3"/>
      <c r="B40" s="4"/>
      <c r="C40" s="3"/>
      <c r="D40" s="3"/>
      <c r="E40" s="3"/>
      <c r="F40" s="3"/>
      <c r="G40" s="3"/>
      <c r="H40" s="7"/>
      <c r="I40" s="9"/>
      <c r="J40" s="3"/>
      <c r="K40" s="3"/>
      <c r="L40" s="12"/>
      <c r="M40" s="8"/>
      <c r="N40" s="11"/>
      <c r="O40" s="12"/>
      <c r="P40" s="12"/>
      <c r="Q40" s="8"/>
      <c r="R40" s="11"/>
      <c r="S40" s="3"/>
    </row>
    <row r="41" spans="1:19">
      <c r="A41" s="3"/>
      <c r="B41" s="4"/>
      <c r="C41" s="3"/>
      <c r="D41" s="3"/>
      <c r="E41" s="3"/>
      <c r="F41" s="3"/>
      <c r="G41" s="3"/>
      <c r="H41" s="7"/>
      <c r="I41" s="9"/>
      <c r="J41" s="3"/>
      <c r="K41" s="3"/>
      <c r="L41" s="12"/>
      <c r="M41" s="8"/>
      <c r="N41" s="11"/>
      <c r="O41" s="12"/>
      <c r="P41" s="12"/>
      <c r="Q41" s="8"/>
      <c r="R41" s="11"/>
      <c r="S41" s="3"/>
    </row>
    <row r="42" spans="1:19">
      <c r="A42" s="3"/>
      <c r="B42" s="4"/>
      <c r="C42" s="3"/>
      <c r="D42" s="3"/>
      <c r="E42" s="3"/>
      <c r="F42" s="3"/>
      <c r="G42" s="3"/>
      <c r="H42" s="7"/>
      <c r="I42" s="9"/>
      <c r="J42" s="3"/>
      <c r="K42" s="3"/>
      <c r="L42" s="12"/>
      <c r="M42" s="8"/>
      <c r="N42" s="11"/>
      <c r="O42" s="12"/>
      <c r="P42" s="12"/>
      <c r="Q42" s="8"/>
      <c r="R42" s="11"/>
      <c r="S42" s="3"/>
    </row>
  </sheetData>
  <mergeCells count="9">
    <mergeCell ref="E5:E6"/>
    <mergeCell ref="A1:E1"/>
    <mergeCell ref="H1:I1"/>
    <mergeCell ref="L1:N1"/>
    <mergeCell ref="P1:R1"/>
    <mergeCell ref="A2:E2"/>
    <mergeCell ref="H2:I2"/>
    <mergeCell ref="L2:N2"/>
    <mergeCell ref="P2:R2"/>
  </mergeCells>
  <conditionalFormatting sqref="A2:F3">
    <cfRule type="cellIs" dxfId="10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A0625-7F52-44AB-80FC-91D05F2AEC48}">
  <dimension ref="A1:S41"/>
  <sheetViews>
    <sheetView showGridLines="0" zoomScaleNormal="100" workbookViewId="0">
      <selection activeCell="H2" sqref="H2:I2"/>
    </sheetView>
  </sheetViews>
  <sheetFormatPr defaultColWidth="13.28515625" defaultRowHeight="15"/>
  <cols>
    <col min="1" max="1" width="15.28515625" style="1" bestFit="1" customWidth="1"/>
    <col min="2" max="2" width="12" style="1" bestFit="1" customWidth="1"/>
    <col min="3" max="3" width="15" style="1" bestFit="1" customWidth="1"/>
    <col min="4" max="4" width="12" style="1" bestFit="1" customWidth="1"/>
    <col min="5" max="5" width="17.5703125" style="1" bestFit="1" customWidth="1"/>
    <col min="6" max="6" width="17.5703125" style="1" customWidth="1"/>
    <col min="7" max="7" width="13.28515625" style="1" customWidth="1"/>
    <col min="8" max="8" width="17.85546875" style="1" bestFit="1" customWidth="1"/>
    <col min="9" max="9" width="12" style="1" bestFit="1" customWidth="1"/>
    <col min="10" max="12" width="9.140625" style="1"/>
    <col min="13" max="13" width="12.85546875" style="1" bestFit="1" customWidth="1"/>
    <col min="14" max="14" width="15.42578125" style="1" bestFit="1" customWidth="1"/>
    <col min="15" max="15" width="13.28515625" style="37"/>
    <col min="16" max="16384" width="13.28515625" style="1"/>
  </cols>
  <sheetData>
    <row r="1" spans="1:19" ht="33" customHeight="1">
      <c r="A1" s="103" t="s">
        <v>0</v>
      </c>
      <c r="B1" s="103"/>
      <c r="C1" s="103"/>
      <c r="D1" s="103"/>
      <c r="E1" s="103"/>
      <c r="F1" s="81"/>
      <c r="G1" s="6"/>
      <c r="H1" s="103" t="s">
        <v>1</v>
      </c>
      <c r="I1" s="103"/>
      <c r="J1" s="6"/>
      <c r="K1" s="6"/>
      <c r="L1" s="103" t="s">
        <v>2</v>
      </c>
      <c r="M1" s="103"/>
      <c r="N1" s="103"/>
      <c r="O1" s="32"/>
      <c r="P1" s="103" t="s">
        <v>3</v>
      </c>
      <c r="Q1" s="103"/>
      <c r="R1" s="103"/>
      <c r="S1" s="6"/>
    </row>
    <row r="2" spans="1:19" ht="18">
      <c r="A2" s="105">
        <f>E7+P2</f>
        <v>1138.7899999999991</v>
      </c>
      <c r="B2" s="105"/>
      <c r="C2" s="105"/>
      <c r="D2" s="105"/>
      <c r="E2" s="105"/>
      <c r="F2" s="83"/>
      <c r="G2" s="5"/>
      <c r="H2" s="107">
        <f>SUM(I4:I11)*-1</f>
        <v>-3225.58</v>
      </c>
      <c r="I2" s="107"/>
      <c r="J2" s="5"/>
      <c r="K2" s="5"/>
      <c r="L2" s="108">
        <f>SUM(M5:M12)*-1</f>
        <v>-2456.11</v>
      </c>
      <c r="M2" s="108"/>
      <c r="N2" s="108"/>
      <c r="O2" s="33"/>
      <c r="P2" s="104">
        <f>SUM(H2:N2)</f>
        <v>-5681.6900000000005</v>
      </c>
      <c r="Q2" s="104"/>
      <c r="R2" s="104"/>
      <c r="S2" s="5"/>
    </row>
    <row r="3" spans="1:19" ht="16.5" customHeight="1">
      <c r="A3" s="83"/>
      <c r="B3" s="83"/>
      <c r="C3" s="83"/>
      <c r="D3" s="83"/>
      <c r="E3" s="83"/>
      <c r="F3" s="83"/>
      <c r="G3" s="5"/>
      <c r="H3" s="84"/>
      <c r="I3" s="84"/>
      <c r="J3" s="2" t="s">
        <v>4</v>
      </c>
      <c r="K3" s="5"/>
      <c r="L3" s="85"/>
      <c r="M3" s="85"/>
      <c r="N3" s="85"/>
      <c r="O3" s="33"/>
      <c r="P3" s="82"/>
      <c r="Q3" s="82"/>
      <c r="R3" s="82"/>
      <c r="S3" s="5"/>
    </row>
    <row r="4" spans="1:19">
      <c r="A4" s="2"/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/>
      <c r="H4" s="7" t="s">
        <v>10</v>
      </c>
      <c r="I4" s="9">
        <v>1460</v>
      </c>
      <c r="J4" s="3" t="s">
        <v>11</v>
      </c>
      <c r="K4" s="2"/>
      <c r="L4" s="2" t="s">
        <v>12</v>
      </c>
      <c r="M4" s="2" t="s">
        <v>13</v>
      </c>
      <c r="N4" s="2" t="s">
        <v>14</v>
      </c>
      <c r="O4" s="2" t="s">
        <v>4</v>
      </c>
      <c r="P4" s="2"/>
      <c r="Q4" s="13" t="s">
        <v>15</v>
      </c>
      <c r="R4" s="22" t="s">
        <v>16</v>
      </c>
      <c r="S4" s="2"/>
    </row>
    <row r="5" spans="1:19">
      <c r="A5" s="14" t="s">
        <v>17</v>
      </c>
      <c r="B5" s="20">
        <v>3500</v>
      </c>
      <c r="C5" s="20">
        <f>B5-D5</f>
        <v>665</v>
      </c>
      <c r="D5" s="20">
        <v>2835</v>
      </c>
      <c r="E5" s="106"/>
      <c r="F5" s="16">
        <f>IF(A2&gt;0,A2/2,"R$ 0,00")</f>
        <v>569.39499999999953</v>
      </c>
      <c r="G5" s="3"/>
      <c r="H5" s="7" t="s">
        <v>18</v>
      </c>
      <c r="I5" s="9">
        <v>129.9</v>
      </c>
      <c r="J5" s="3" t="s">
        <v>11</v>
      </c>
      <c r="K5" s="3"/>
      <c r="L5" s="2">
        <v>4</v>
      </c>
      <c r="M5" s="8">
        <v>564.08000000000004</v>
      </c>
      <c r="N5" s="11" t="s">
        <v>39</v>
      </c>
      <c r="O5" s="34" t="s">
        <v>11</v>
      </c>
      <c r="P5" s="12"/>
      <c r="Q5" s="23">
        <f>SUMIF(J:J,"ok",I:I)+SUMIF(O:O,"ok",M:M)</f>
        <v>5743.6900000000005</v>
      </c>
      <c r="R5" s="17">
        <f>P2+Q5</f>
        <v>62</v>
      </c>
      <c r="S5" s="3"/>
    </row>
    <row r="6" spans="1:19">
      <c r="A6" s="14" t="s">
        <v>20</v>
      </c>
      <c r="B6" s="20">
        <v>5155.7</v>
      </c>
      <c r="C6" s="20">
        <f>B6-D6</f>
        <v>1170.2199999999998</v>
      </c>
      <c r="D6" s="20">
        <v>3985.48</v>
      </c>
      <c r="E6" s="106"/>
      <c r="F6" s="16">
        <f>F5</f>
        <v>569.39499999999953</v>
      </c>
      <c r="G6" s="3"/>
      <c r="H6" s="7" t="s">
        <v>21</v>
      </c>
      <c r="I6" s="9">
        <v>80.06</v>
      </c>
      <c r="J6" s="3" t="s">
        <v>11</v>
      </c>
      <c r="K6" s="3"/>
      <c r="L6" s="2">
        <v>1</v>
      </c>
      <c r="M6" s="8">
        <v>989.53</v>
      </c>
      <c r="N6" s="11" t="s">
        <v>48</v>
      </c>
      <c r="O6" s="34" t="s">
        <v>11</v>
      </c>
      <c r="P6" s="12"/>
      <c r="Q6" s="8"/>
      <c r="R6" s="11"/>
      <c r="S6" s="3"/>
    </row>
    <row r="7" spans="1:19">
      <c r="A7" s="14" t="s">
        <v>3</v>
      </c>
      <c r="B7" s="18"/>
      <c r="C7" s="18"/>
      <c r="D7" s="19"/>
      <c r="E7" s="20">
        <f>D5+D6+E5</f>
        <v>6820.48</v>
      </c>
      <c r="F7" s="15"/>
      <c r="G7" s="3"/>
      <c r="H7" s="7" t="s">
        <v>41</v>
      </c>
      <c r="I7" s="9">
        <v>700</v>
      </c>
      <c r="J7" s="3" t="s">
        <v>11</v>
      </c>
      <c r="K7" s="3"/>
      <c r="L7" s="2">
        <v>1</v>
      </c>
      <c r="M7" s="8">
        <v>607.5</v>
      </c>
      <c r="N7" s="11" t="s">
        <v>49</v>
      </c>
      <c r="O7" s="34" t="s">
        <v>11</v>
      </c>
      <c r="P7" s="12"/>
      <c r="Q7" s="8"/>
      <c r="R7" s="11"/>
      <c r="S7" s="3"/>
    </row>
    <row r="8" spans="1:19">
      <c r="A8" s="14"/>
      <c r="B8" s="18"/>
      <c r="C8" s="18"/>
      <c r="D8" s="18"/>
      <c r="E8" s="20"/>
      <c r="F8" s="4"/>
      <c r="G8" s="3"/>
      <c r="H8" s="7" t="s">
        <v>46</v>
      </c>
      <c r="I8" s="9">
        <v>65.5</v>
      </c>
      <c r="J8" s="3" t="s">
        <v>11</v>
      </c>
      <c r="K8" s="3"/>
      <c r="L8" s="2">
        <v>3</v>
      </c>
      <c r="M8" s="8">
        <v>295</v>
      </c>
      <c r="N8" s="11" t="s">
        <v>50</v>
      </c>
      <c r="O8" s="35" t="s">
        <v>11</v>
      </c>
      <c r="P8" s="12"/>
      <c r="Q8" s="8"/>
      <c r="R8" s="11"/>
      <c r="S8" s="3"/>
    </row>
    <row r="9" spans="1:19">
      <c r="A9" s="4"/>
      <c r="B9" s="18"/>
      <c r="C9" s="18"/>
      <c r="D9" s="18"/>
      <c r="E9" s="18"/>
      <c r="F9" s="4"/>
      <c r="G9" s="3"/>
      <c r="H9" s="7" t="s">
        <v>44</v>
      </c>
      <c r="I9" s="9">
        <v>452.7</v>
      </c>
      <c r="J9" s="3" t="s">
        <v>11</v>
      </c>
      <c r="K9" s="3"/>
      <c r="L9" s="2"/>
      <c r="M9" s="8"/>
      <c r="N9" s="11"/>
      <c r="O9" s="35"/>
      <c r="P9" s="12"/>
      <c r="Q9" s="8"/>
      <c r="R9" s="11"/>
      <c r="S9" s="3"/>
    </row>
    <row r="10" spans="1:19">
      <c r="A10" s="4"/>
      <c r="B10" s="4"/>
      <c r="C10" s="4"/>
      <c r="D10" s="4"/>
      <c r="E10" s="4"/>
      <c r="F10" s="4"/>
      <c r="G10" s="3"/>
      <c r="H10" s="7" t="s">
        <v>33</v>
      </c>
      <c r="I10" s="9">
        <v>87.42</v>
      </c>
      <c r="J10" s="3" t="s">
        <v>11</v>
      </c>
      <c r="K10" s="3"/>
      <c r="L10" s="2"/>
      <c r="M10" s="8"/>
      <c r="N10" s="11"/>
      <c r="O10" s="35"/>
      <c r="P10" s="12"/>
      <c r="Q10" s="8"/>
      <c r="R10" s="11"/>
      <c r="S10" s="3"/>
    </row>
    <row r="11" spans="1:19">
      <c r="A11" s="110"/>
      <c r="B11" s="110"/>
      <c r="C11" s="4"/>
      <c r="D11" s="4"/>
      <c r="E11" s="4"/>
      <c r="F11" s="4"/>
      <c r="G11" s="3"/>
      <c r="H11" s="7" t="s">
        <v>38</v>
      </c>
      <c r="I11" s="9">
        <v>250</v>
      </c>
      <c r="J11" s="3" t="s">
        <v>11</v>
      </c>
      <c r="K11" s="3"/>
      <c r="L11" s="2"/>
      <c r="M11" s="8"/>
      <c r="N11" s="11"/>
      <c r="O11" s="35"/>
      <c r="P11" s="12"/>
      <c r="Q11" s="8"/>
      <c r="R11" s="11"/>
      <c r="S11" s="3"/>
    </row>
    <row r="12" spans="1:19">
      <c r="A12" s="4"/>
      <c r="B12" s="4"/>
      <c r="C12" s="4"/>
      <c r="D12" s="4"/>
      <c r="E12" s="4"/>
      <c r="F12" s="4"/>
      <c r="G12" s="3"/>
      <c r="H12" s="7" t="s">
        <v>47</v>
      </c>
      <c r="I12" s="9">
        <v>62</v>
      </c>
      <c r="J12" s="3" t="s">
        <v>11</v>
      </c>
      <c r="K12" s="3"/>
      <c r="L12" s="2"/>
      <c r="M12" s="8"/>
      <c r="N12" s="11"/>
      <c r="O12" s="35"/>
      <c r="P12" s="12"/>
      <c r="Q12" s="8"/>
      <c r="R12" s="11"/>
      <c r="S12" s="3"/>
    </row>
    <row r="13" spans="1:19">
      <c r="A13" s="4"/>
      <c r="B13" s="4"/>
      <c r="C13" s="25"/>
      <c r="D13" s="4"/>
      <c r="E13" s="4"/>
      <c r="F13" s="4"/>
      <c r="G13" s="3"/>
      <c r="H13" s="7"/>
      <c r="I13" s="9"/>
      <c r="J13" s="3"/>
      <c r="K13" s="3"/>
      <c r="L13" s="12"/>
      <c r="M13" s="8"/>
      <c r="N13" s="11"/>
      <c r="O13" s="35"/>
      <c r="P13" s="12"/>
      <c r="Q13" s="8"/>
      <c r="R13" s="11"/>
      <c r="S13" s="3"/>
    </row>
    <row r="14" spans="1:19">
      <c r="A14" s="4"/>
      <c r="B14" s="4"/>
      <c r="C14" s="25"/>
      <c r="D14" s="4"/>
      <c r="E14" s="18"/>
      <c r="F14" s="4"/>
      <c r="G14" s="3"/>
      <c r="H14" s="7"/>
      <c r="I14" s="9"/>
      <c r="J14" s="3"/>
      <c r="K14" s="3"/>
      <c r="L14" s="2" t="s">
        <v>3</v>
      </c>
      <c r="M14" s="17">
        <f>((M5*L5)+(M6*L6)+(M7*L7)+(M8*L8)+(M9*L9)+(M10*L10)+(M11+L11)+(M12+L12))*-1</f>
        <v>-4738.3500000000004</v>
      </c>
      <c r="N14" s="11"/>
      <c r="O14" s="35"/>
      <c r="P14" s="12"/>
      <c r="Q14" s="8"/>
      <c r="R14" s="11"/>
      <c r="S14" s="3"/>
    </row>
    <row r="15" spans="1:19">
      <c r="A15" s="4"/>
      <c r="B15" s="4"/>
      <c r="C15" s="25"/>
      <c r="D15" s="4"/>
      <c r="E15" s="18"/>
      <c r="F15" s="4"/>
      <c r="G15" s="3"/>
      <c r="H15" s="7"/>
      <c r="I15" s="9"/>
      <c r="J15" s="3"/>
      <c r="K15" s="3"/>
      <c r="L15" s="12"/>
      <c r="M15" s="8"/>
      <c r="N15" s="11"/>
      <c r="O15" s="35"/>
      <c r="P15" s="12"/>
      <c r="Q15" s="8"/>
      <c r="R15" s="11"/>
      <c r="S15" s="3"/>
    </row>
    <row r="16" spans="1:19">
      <c r="A16" s="4"/>
      <c r="B16" s="4"/>
      <c r="C16" s="25"/>
      <c r="D16" s="4"/>
      <c r="E16" s="18"/>
      <c r="F16" s="4"/>
      <c r="G16" s="3"/>
      <c r="H16" s="7"/>
      <c r="I16" s="9"/>
      <c r="J16" s="3"/>
      <c r="K16" s="3"/>
      <c r="L16" s="12"/>
      <c r="M16" s="8"/>
      <c r="N16" s="11"/>
      <c r="O16" s="35"/>
      <c r="P16" s="12"/>
      <c r="Q16" s="8"/>
      <c r="R16" s="11"/>
      <c r="S16" s="3"/>
    </row>
    <row r="17" spans="1:19">
      <c r="A17" s="4"/>
      <c r="B17" s="4"/>
      <c r="C17" s="25"/>
      <c r="D17" s="4"/>
      <c r="E17" s="18"/>
      <c r="F17" s="4"/>
      <c r="G17" s="3"/>
      <c r="H17" s="7"/>
      <c r="I17" s="9"/>
      <c r="J17" s="3"/>
      <c r="K17" s="3"/>
      <c r="L17" s="12"/>
      <c r="M17" s="8"/>
      <c r="N17" s="11"/>
      <c r="O17" s="35"/>
      <c r="P17" s="12"/>
      <c r="Q17" s="8"/>
      <c r="R17" s="11"/>
      <c r="S17" s="3"/>
    </row>
    <row r="18" spans="1:19">
      <c r="A18" s="4"/>
      <c r="B18" s="4"/>
      <c r="C18" s="25"/>
      <c r="D18" s="4"/>
      <c r="E18" s="18"/>
      <c r="F18" s="4"/>
      <c r="G18" s="3"/>
      <c r="H18" s="7"/>
      <c r="I18" s="9"/>
      <c r="J18" s="3"/>
      <c r="K18" s="3"/>
      <c r="L18" s="12"/>
      <c r="M18" s="8"/>
      <c r="N18" s="11"/>
      <c r="O18" s="35"/>
      <c r="P18" s="12"/>
      <c r="Q18" s="8"/>
      <c r="R18" s="11"/>
      <c r="S18" s="3"/>
    </row>
    <row r="19" spans="1:19">
      <c r="A19" s="4"/>
      <c r="B19" s="4"/>
      <c r="C19" s="25"/>
      <c r="D19" s="4"/>
      <c r="E19" s="18"/>
      <c r="F19" s="4"/>
      <c r="G19" s="3"/>
      <c r="H19" s="7"/>
      <c r="I19" s="9"/>
      <c r="J19" s="3"/>
      <c r="K19" s="3"/>
      <c r="L19" s="12"/>
      <c r="M19" s="8"/>
      <c r="N19" s="11"/>
      <c r="O19" s="35"/>
      <c r="P19" s="12"/>
      <c r="Q19" s="8"/>
      <c r="R19" s="11"/>
      <c r="S19" s="3"/>
    </row>
    <row r="20" spans="1:19">
      <c r="A20" s="4"/>
      <c r="B20" s="4"/>
      <c r="C20" s="25"/>
      <c r="D20" s="4"/>
      <c r="E20" s="18"/>
      <c r="F20" s="4"/>
      <c r="G20" s="3"/>
      <c r="H20" s="7"/>
      <c r="I20" s="9"/>
      <c r="J20" s="3"/>
      <c r="K20" s="3"/>
      <c r="L20" s="12"/>
      <c r="M20" s="8"/>
      <c r="N20" s="11"/>
      <c r="O20" s="35"/>
      <c r="P20" s="12"/>
      <c r="Q20" s="8"/>
      <c r="R20" s="11"/>
      <c r="S20" s="3"/>
    </row>
    <row r="21" spans="1:19">
      <c r="A21" s="4"/>
      <c r="B21" s="4"/>
      <c r="C21" s="25"/>
      <c r="D21" s="4"/>
      <c r="E21" s="18"/>
      <c r="F21" s="4"/>
      <c r="G21" s="3"/>
      <c r="H21" s="7"/>
      <c r="I21" s="9"/>
      <c r="J21" s="3"/>
      <c r="K21" s="3"/>
      <c r="L21" s="12"/>
      <c r="M21" s="8"/>
      <c r="N21" s="11"/>
      <c r="O21" s="35"/>
      <c r="P21" s="12"/>
      <c r="Q21" s="8"/>
      <c r="R21" s="11"/>
      <c r="S21" s="3"/>
    </row>
    <row r="22" spans="1:19">
      <c r="A22" s="4"/>
      <c r="B22" s="4"/>
      <c r="C22" s="4"/>
      <c r="D22" s="4"/>
      <c r="E22" s="4"/>
      <c r="F22" s="4"/>
      <c r="G22" s="3"/>
      <c r="H22" s="7"/>
      <c r="I22" s="9"/>
      <c r="J22" s="3"/>
      <c r="K22" s="3"/>
      <c r="L22" s="12"/>
      <c r="M22" s="8"/>
      <c r="N22" s="11"/>
      <c r="O22" s="35"/>
      <c r="P22" s="12"/>
      <c r="Q22" s="8"/>
      <c r="R22" s="11"/>
      <c r="S22" s="3"/>
    </row>
    <row r="23" spans="1:19">
      <c r="A23" s="4"/>
      <c r="B23" s="4"/>
      <c r="C23" s="4"/>
      <c r="D23" s="4"/>
      <c r="E23" s="4"/>
      <c r="F23" s="4"/>
      <c r="G23" s="3"/>
      <c r="H23" s="7"/>
      <c r="I23" s="9"/>
      <c r="J23" s="3"/>
      <c r="K23" s="3"/>
      <c r="L23" s="12"/>
      <c r="M23" s="8"/>
      <c r="N23" s="11"/>
      <c r="O23" s="35"/>
      <c r="P23" s="12"/>
      <c r="Q23" s="8"/>
      <c r="R23" s="11"/>
      <c r="S23" s="3"/>
    </row>
    <row r="24" spans="1:19">
      <c r="A24" s="4"/>
      <c r="B24" s="4"/>
      <c r="C24" s="4"/>
      <c r="D24" s="4"/>
      <c r="E24" s="4"/>
      <c r="F24" s="4"/>
      <c r="G24" s="3"/>
      <c r="H24" s="7"/>
      <c r="I24" s="9"/>
      <c r="J24" s="3"/>
      <c r="K24" s="3"/>
      <c r="L24" s="12"/>
      <c r="M24" s="8"/>
      <c r="N24" s="11"/>
      <c r="O24" s="36"/>
      <c r="P24" s="12"/>
      <c r="Q24" s="8"/>
      <c r="R24" s="11"/>
      <c r="S24" s="3"/>
    </row>
    <row r="25" spans="1:19">
      <c r="A25" s="4"/>
      <c r="B25" s="4"/>
      <c r="C25" s="4"/>
      <c r="D25" s="4"/>
      <c r="E25" s="4"/>
      <c r="F25" s="4"/>
      <c r="G25" s="3"/>
      <c r="H25" s="7"/>
      <c r="I25" s="9"/>
      <c r="J25" s="3"/>
      <c r="K25" s="3"/>
      <c r="L25" s="12"/>
      <c r="M25" s="8"/>
      <c r="N25" s="11"/>
      <c r="O25" s="35"/>
      <c r="P25" s="12"/>
      <c r="Q25" s="8"/>
      <c r="R25" s="11"/>
      <c r="S25" s="3"/>
    </row>
    <row r="26" spans="1:19">
      <c r="A26" s="4"/>
      <c r="B26" s="4"/>
      <c r="C26" s="4"/>
      <c r="D26" s="4"/>
      <c r="E26" s="4"/>
      <c r="F26" s="4"/>
      <c r="G26" s="3"/>
      <c r="H26" s="7"/>
      <c r="I26" s="9"/>
      <c r="J26" s="3"/>
      <c r="K26" s="3"/>
      <c r="L26" s="12"/>
      <c r="M26" s="8"/>
      <c r="N26" s="11"/>
      <c r="O26" s="36"/>
      <c r="P26" s="12"/>
      <c r="Q26" s="8"/>
      <c r="R26" s="11"/>
      <c r="S26" s="3"/>
    </row>
    <row r="27" spans="1:19">
      <c r="A27" s="4"/>
      <c r="B27" s="4"/>
      <c r="C27" s="4"/>
      <c r="D27" s="4"/>
      <c r="E27" s="4"/>
      <c r="F27" s="4"/>
      <c r="G27" s="3"/>
      <c r="H27" s="7"/>
      <c r="I27" s="9"/>
      <c r="J27" s="3"/>
      <c r="K27" s="3"/>
      <c r="L27" s="12"/>
      <c r="M27" s="8"/>
      <c r="N27" s="11"/>
      <c r="O27" s="35"/>
      <c r="P27" s="12"/>
      <c r="Q27" s="8"/>
      <c r="R27" s="11"/>
      <c r="S27" s="3"/>
    </row>
    <row r="28" spans="1:19">
      <c r="A28" s="4"/>
      <c r="B28" s="4"/>
      <c r="C28" s="4"/>
      <c r="D28" s="4"/>
      <c r="E28" s="4"/>
      <c r="F28" s="4"/>
      <c r="G28" s="3"/>
      <c r="H28" s="7"/>
      <c r="I28" s="9"/>
      <c r="J28" s="3"/>
      <c r="K28" s="3"/>
      <c r="L28" s="12"/>
      <c r="M28" s="8"/>
      <c r="N28" s="11"/>
      <c r="O28" s="35"/>
      <c r="P28" s="12"/>
      <c r="Q28" s="8"/>
      <c r="R28" s="11"/>
      <c r="S28" s="3"/>
    </row>
    <row r="29" spans="1:19">
      <c r="A29" s="3"/>
      <c r="B29" s="4"/>
      <c r="C29" s="3"/>
      <c r="D29" s="3"/>
      <c r="E29" s="3"/>
      <c r="F29" s="3"/>
      <c r="G29" s="3"/>
      <c r="H29" s="7"/>
      <c r="I29" s="9"/>
      <c r="J29" s="3"/>
      <c r="K29" s="3"/>
      <c r="L29" s="12"/>
      <c r="M29" s="8"/>
      <c r="N29" s="11"/>
      <c r="O29" s="35"/>
      <c r="P29" s="12"/>
      <c r="Q29" s="8"/>
      <c r="R29" s="11"/>
      <c r="S29" s="3"/>
    </row>
    <row r="30" spans="1:19">
      <c r="A30" s="3"/>
      <c r="B30" s="4"/>
      <c r="C30" s="3"/>
      <c r="D30" s="3"/>
      <c r="E30" s="3"/>
      <c r="F30" s="3"/>
      <c r="G30" s="3"/>
      <c r="H30" s="7"/>
      <c r="I30" s="9"/>
      <c r="J30" s="3"/>
      <c r="K30" s="3"/>
      <c r="L30" s="12"/>
      <c r="M30" s="8"/>
      <c r="N30" s="11"/>
      <c r="O30" s="35"/>
      <c r="P30" s="12"/>
      <c r="Q30" s="8"/>
      <c r="R30" s="11"/>
      <c r="S30" s="3"/>
    </row>
    <row r="31" spans="1:19">
      <c r="A31" s="3"/>
      <c r="B31" s="4"/>
      <c r="C31" s="3"/>
      <c r="D31" s="3"/>
      <c r="E31" s="3"/>
      <c r="F31" s="3"/>
      <c r="G31" s="3"/>
      <c r="H31" s="7"/>
      <c r="I31" s="9"/>
      <c r="J31" s="3"/>
      <c r="K31" s="3"/>
      <c r="L31" s="12"/>
      <c r="M31" s="8"/>
      <c r="N31" s="11"/>
      <c r="O31" s="35"/>
      <c r="P31" s="12"/>
      <c r="Q31" s="8"/>
      <c r="R31" s="11"/>
      <c r="S31" s="3"/>
    </row>
    <row r="32" spans="1:19">
      <c r="A32" s="3"/>
      <c r="B32" s="4"/>
      <c r="C32" s="3"/>
      <c r="D32" s="3"/>
      <c r="E32" s="3"/>
      <c r="F32" s="3"/>
      <c r="G32" s="3"/>
      <c r="H32" s="7"/>
      <c r="I32" s="9"/>
      <c r="J32" s="3"/>
      <c r="K32" s="3"/>
      <c r="L32" s="12"/>
      <c r="M32" s="8"/>
      <c r="N32" s="11"/>
      <c r="O32" s="35"/>
      <c r="P32" s="12"/>
      <c r="Q32" s="8"/>
      <c r="R32" s="11"/>
      <c r="S32" s="3"/>
    </row>
    <row r="33" spans="1:19">
      <c r="A33" s="3"/>
      <c r="B33" s="4"/>
      <c r="C33" s="3"/>
      <c r="D33" s="3"/>
      <c r="E33" s="3"/>
      <c r="F33" s="3"/>
      <c r="G33" s="3"/>
      <c r="H33" s="7"/>
      <c r="I33" s="9"/>
      <c r="J33" s="3"/>
      <c r="K33" s="3"/>
      <c r="L33" s="12"/>
      <c r="M33" s="8"/>
      <c r="N33" s="11"/>
      <c r="O33" s="35"/>
      <c r="P33" s="12"/>
      <c r="Q33" s="8"/>
      <c r="R33" s="11"/>
      <c r="S33" s="3"/>
    </row>
    <row r="34" spans="1:19">
      <c r="A34" s="3"/>
      <c r="B34" s="4"/>
      <c r="C34" s="3"/>
      <c r="D34" s="3"/>
      <c r="E34" s="3"/>
      <c r="F34" s="3"/>
      <c r="G34" s="3"/>
      <c r="H34" s="7"/>
      <c r="I34" s="9"/>
      <c r="J34" s="3"/>
      <c r="K34" s="3"/>
      <c r="L34" s="12"/>
      <c r="M34" s="8"/>
      <c r="N34" s="11"/>
      <c r="O34" s="35"/>
      <c r="P34" s="12"/>
      <c r="Q34" s="8"/>
      <c r="R34" s="11"/>
      <c r="S34" s="3"/>
    </row>
    <row r="35" spans="1:19">
      <c r="A35" s="3"/>
      <c r="B35" s="4"/>
      <c r="C35" s="3"/>
      <c r="D35" s="3"/>
      <c r="E35" s="3"/>
      <c r="F35" s="3"/>
      <c r="G35" s="3"/>
      <c r="H35" s="7"/>
      <c r="I35" s="9"/>
      <c r="J35" s="3"/>
      <c r="K35" s="3"/>
      <c r="L35" s="12"/>
      <c r="M35" s="8"/>
      <c r="N35" s="11"/>
      <c r="O35" s="35"/>
      <c r="P35" s="12"/>
      <c r="Q35" s="8"/>
      <c r="R35" s="11"/>
      <c r="S35" s="3"/>
    </row>
    <row r="36" spans="1:19">
      <c r="A36" s="3"/>
      <c r="B36" s="4"/>
      <c r="C36" s="3"/>
      <c r="D36" s="3"/>
      <c r="E36" s="3"/>
      <c r="F36" s="3"/>
      <c r="G36" s="3"/>
      <c r="H36" s="7"/>
      <c r="I36" s="9"/>
      <c r="J36" s="3"/>
      <c r="K36" s="3"/>
      <c r="L36" s="12"/>
      <c r="M36" s="8"/>
      <c r="N36" s="11"/>
      <c r="O36" s="35"/>
      <c r="P36" s="12"/>
      <c r="Q36" s="8"/>
      <c r="R36" s="11"/>
      <c r="S36" s="3"/>
    </row>
    <row r="37" spans="1:19">
      <c r="A37" s="3"/>
      <c r="B37" s="4"/>
      <c r="C37" s="3"/>
      <c r="D37" s="3"/>
      <c r="E37" s="3"/>
      <c r="F37" s="3"/>
      <c r="G37" s="3"/>
      <c r="H37" s="7"/>
      <c r="I37" s="9"/>
      <c r="J37" s="3"/>
      <c r="K37" s="3"/>
      <c r="L37" s="12"/>
      <c r="M37" s="8"/>
      <c r="N37" s="11"/>
      <c r="O37" s="35"/>
      <c r="P37" s="12"/>
      <c r="Q37" s="8"/>
      <c r="R37" s="11"/>
      <c r="S37" s="3"/>
    </row>
    <row r="38" spans="1:19">
      <c r="A38" s="3"/>
      <c r="B38" s="4"/>
      <c r="C38" s="3"/>
      <c r="D38" s="3"/>
      <c r="E38" s="3"/>
      <c r="F38" s="3"/>
      <c r="G38" s="3"/>
      <c r="H38" s="7"/>
      <c r="I38" s="9"/>
      <c r="J38" s="3"/>
      <c r="K38" s="3"/>
      <c r="L38" s="12"/>
      <c r="M38" s="8"/>
      <c r="N38" s="11"/>
      <c r="O38" s="35"/>
      <c r="P38" s="12"/>
      <c r="Q38" s="8"/>
      <c r="R38" s="11"/>
      <c r="S38" s="3"/>
    </row>
    <row r="39" spans="1:19">
      <c r="A39" s="3"/>
      <c r="B39" s="4"/>
      <c r="C39" s="3"/>
      <c r="D39" s="3"/>
      <c r="E39" s="3"/>
      <c r="F39" s="3"/>
      <c r="G39" s="3"/>
      <c r="H39" s="7"/>
      <c r="I39" s="9"/>
      <c r="J39" s="3"/>
      <c r="K39" s="3"/>
      <c r="L39" s="12"/>
      <c r="M39" s="8"/>
      <c r="N39" s="11"/>
      <c r="O39" s="35"/>
      <c r="P39" s="12"/>
      <c r="Q39" s="8"/>
      <c r="R39" s="11"/>
      <c r="S39" s="3"/>
    </row>
    <row r="40" spans="1:19">
      <c r="A40" s="3"/>
      <c r="B40" s="4"/>
      <c r="C40" s="3"/>
      <c r="D40" s="3"/>
      <c r="E40" s="3"/>
      <c r="F40" s="3"/>
      <c r="G40" s="3"/>
      <c r="H40" s="7"/>
      <c r="I40" s="9"/>
      <c r="J40" s="3"/>
      <c r="K40" s="3"/>
      <c r="L40" s="12"/>
      <c r="M40" s="8"/>
      <c r="N40" s="11"/>
      <c r="O40" s="35"/>
      <c r="P40" s="12"/>
      <c r="Q40" s="8"/>
      <c r="R40" s="11"/>
      <c r="S40" s="3"/>
    </row>
    <row r="41" spans="1:19">
      <c r="A41" s="3"/>
      <c r="B41" s="4"/>
      <c r="C41" s="3"/>
      <c r="D41" s="3"/>
      <c r="E41" s="3"/>
      <c r="F41" s="3"/>
      <c r="G41" s="3"/>
      <c r="H41" s="7"/>
      <c r="I41" s="9"/>
      <c r="J41" s="3"/>
      <c r="K41" s="3"/>
      <c r="L41" s="12"/>
      <c r="M41" s="8"/>
      <c r="N41" s="11"/>
      <c r="O41" s="35"/>
      <c r="P41" s="12"/>
      <c r="Q41" s="8"/>
      <c r="R41" s="11"/>
      <c r="S41" s="3"/>
    </row>
  </sheetData>
  <mergeCells count="10">
    <mergeCell ref="A11:B11"/>
    <mergeCell ref="E5:E6"/>
    <mergeCell ref="A1:E1"/>
    <mergeCell ref="H1:I1"/>
    <mergeCell ref="L1:N1"/>
    <mergeCell ref="P1:R1"/>
    <mergeCell ref="A2:E2"/>
    <mergeCell ref="H2:I2"/>
    <mergeCell ref="L2:N2"/>
    <mergeCell ref="P2:R2"/>
  </mergeCells>
  <conditionalFormatting sqref="A2:F3">
    <cfRule type="cellIs" dxfId="9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355C7-8FE5-463B-84FD-A8660E171BFD}">
  <dimension ref="A1:S41"/>
  <sheetViews>
    <sheetView showGridLines="0" zoomScaleNormal="100" workbookViewId="0">
      <selection activeCell="E13" sqref="E13"/>
    </sheetView>
  </sheetViews>
  <sheetFormatPr defaultColWidth="13.28515625" defaultRowHeight="15"/>
  <cols>
    <col min="1" max="1" width="15.28515625" style="1" bestFit="1" customWidth="1"/>
    <col min="2" max="2" width="12" style="1" bestFit="1" customWidth="1"/>
    <col min="3" max="3" width="15" style="1" bestFit="1" customWidth="1"/>
    <col min="4" max="4" width="12" style="1" bestFit="1" customWidth="1"/>
    <col min="5" max="5" width="17.5703125" style="1" bestFit="1" customWidth="1"/>
    <col min="6" max="6" width="17.5703125" style="1" customWidth="1"/>
    <col min="7" max="7" width="13.28515625" style="1" customWidth="1"/>
    <col min="8" max="8" width="17.85546875" style="1" bestFit="1" customWidth="1"/>
    <col min="9" max="9" width="12" style="1" bestFit="1" customWidth="1"/>
    <col min="10" max="12" width="9.140625" style="1"/>
    <col min="13" max="13" width="12.85546875" style="1" bestFit="1" customWidth="1"/>
    <col min="14" max="14" width="15.42578125" style="1" bestFit="1" customWidth="1"/>
    <col min="15" max="16384" width="13.28515625" style="1"/>
  </cols>
  <sheetData>
    <row r="1" spans="1:19" ht="33" customHeight="1">
      <c r="A1" s="103" t="s">
        <v>0</v>
      </c>
      <c r="B1" s="103"/>
      <c r="C1" s="103"/>
      <c r="D1" s="103"/>
      <c r="E1" s="103"/>
      <c r="F1" s="81"/>
      <c r="G1" s="6"/>
      <c r="H1" s="103" t="s">
        <v>1</v>
      </c>
      <c r="I1" s="103"/>
      <c r="J1" s="6"/>
      <c r="K1" s="6"/>
      <c r="L1" s="103" t="s">
        <v>2</v>
      </c>
      <c r="M1" s="103"/>
      <c r="N1" s="103"/>
      <c r="O1" s="6"/>
      <c r="P1" s="103" t="s">
        <v>3</v>
      </c>
      <c r="Q1" s="103"/>
      <c r="R1" s="103"/>
      <c r="S1" s="6"/>
    </row>
    <row r="2" spans="1:19" ht="18">
      <c r="A2" s="105">
        <f>E7+P2</f>
        <v>970.28999999999905</v>
      </c>
      <c r="B2" s="105"/>
      <c r="C2" s="105"/>
      <c r="D2" s="105"/>
      <c r="E2" s="105"/>
      <c r="F2" s="83"/>
      <c r="G2" s="5"/>
      <c r="H2" s="107">
        <f>SUM(I4:I12)*-1</f>
        <v>-3018.21</v>
      </c>
      <c r="I2" s="107"/>
      <c r="J2" s="5"/>
      <c r="K2" s="5"/>
      <c r="L2" s="108">
        <f>SUM(M5:M12)*-1</f>
        <v>-5445.17</v>
      </c>
      <c r="M2" s="108"/>
      <c r="N2" s="108"/>
      <c r="O2" s="21"/>
      <c r="P2" s="104">
        <f>SUM(H2:N2)</f>
        <v>-8463.380000000001</v>
      </c>
      <c r="Q2" s="104"/>
      <c r="R2" s="104"/>
      <c r="S2" s="5"/>
    </row>
    <row r="3" spans="1:19" ht="16.5" customHeight="1">
      <c r="A3" s="83"/>
      <c r="B3" s="83"/>
      <c r="C3" s="83"/>
      <c r="D3" s="83"/>
      <c r="E3" s="83"/>
      <c r="F3" s="83"/>
      <c r="G3" s="5"/>
      <c r="H3" s="84"/>
      <c r="I3" s="84"/>
      <c r="J3" s="2" t="s">
        <v>4</v>
      </c>
      <c r="K3" s="5"/>
      <c r="L3" s="85"/>
      <c r="M3" s="85"/>
      <c r="N3" s="85"/>
      <c r="O3" s="82"/>
      <c r="P3" s="82"/>
      <c r="Q3" s="82"/>
      <c r="R3" s="82"/>
      <c r="S3" s="5"/>
    </row>
    <row r="4" spans="1:19">
      <c r="A4" s="2"/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/>
      <c r="H4" s="7" t="s">
        <v>10</v>
      </c>
      <c r="I4" s="9">
        <v>1460</v>
      </c>
      <c r="J4" s="3" t="s">
        <v>11</v>
      </c>
      <c r="K4" s="2"/>
      <c r="L4" s="2" t="s">
        <v>12</v>
      </c>
      <c r="M4" s="2" t="s">
        <v>13</v>
      </c>
      <c r="N4" s="2" t="s">
        <v>14</v>
      </c>
      <c r="O4" s="2" t="s">
        <v>4</v>
      </c>
      <c r="P4" s="2"/>
      <c r="Q4" s="13" t="s">
        <v>15</v>
      </c>
      <c r="R4" s="22" t="s">
        <v>16</v>
      </c>
      <c r="S4" s="2"/>
    </row>
    <row r="5" spans="1:19">
      <c r="A5" s="14" t="s">
        <v>17</v>
      </c>
      <c r="B5" s="20">
        <v>3500</v>
      </c>
      <c r="C5" s="20">
        <f>B5-D5</f>
        <v>676.79</v>
      </c>
      <c r="D5" s="20">
        <v>2823.21</v>
      </c>
      <c r="E5" s="106">
        <f>5305.69-3143</f>
        <v>2162.6899999999996</v>
      </c>
      <c r="F5" s="16">
        <f>IF(A2&gt;0,A2/2,"R$ 0,00")</f>
        <v>485.14499999999953</v>
      </c>
      <c r="G5" s="3"/>
      <c r="H5" s="7" t="s">
        <v>18</v>
      </c>
      <c r="I5" s="9">
        <v>129.9</v>
      </c>
      <c r="J5" s="3" t="s">
        <v>11</v>
      </c>
      <c r="K5" s="3"/>
      <c r="L5" s="2">
        <v>1</v>
      </c>
      <c r="M5" s="8">
        <v>1603.6</v>
      </c>
      <c r="N5" s="11" t="s">
        <v>39</v>
      </c>
      <c r="O5" s="27" t="s">
        <v>11</v>
      </c>
      <c r="P5" s="12"/>
      <c r="Q5" s="23">
        <f>SUMIF(J:J,"ok",I:I)+SUMIF(O:O,"ok",M:M)</f>
        <v>8463.380000000001</v>
      </c>
      <c r="R5" s="17">
        <f>P2+Q5</f>
        <v>0</v>
      </c>
      <c r="S5" s="3"/>
    </row>
    <row r="6" spans="1:19">
      <c r="A6" s="14" t="s">
        <v>20</v>
      </c>
      <c r="B6" s="20">
        <v>6145.72</v>
      </c>
      <c r="C6" s="20">
        <f>B6-D6</f>
        <v>1697.9499999999998</v>
      </c>
      <c r="D6" s="20">
        <v>4447.7700000000004</v>
      </c>
      <c r="E6" s="106"/>
      <c r="F6" s="16">
        <f>F5</f>
        <v>485.14499999999953</v>
      </c>
      <c r="G6" s="3"/>
      <c r="H6" s="7" t="s">
        <v>21</v>
      </c>
      <c r="I6" s="9">
        <v>71.349999999999994</v>
      </c>
      <c r="J6" s="3" t="s">
        <v>11</v>
      </c>
      <c r="K6" s="3"/>
      <c r="L6" s="2">
        <v>1</v>
      </c>
      <c r="M6" s="8">
        <v>1339.18</v>
      </c>
      <c r="N6" s="11" t="s">
        <v>48</v>
      </c>
      <c r="O6" s="27" t="s">
        <v>11</v>
      </c>
      <c r="P6" s="12"/>
      <c r="Q6" s="8"/>
      <c r="R6" s="11"/>
      <c r="S6" s="3"/>
    </row>
    <row r="7" spans="1:19">
      <c r="A7" s="14" t="s">
        <v>3</v>
      </c>
      <c r="B7" s="18"/>
      <c r="C7" s="18"/>
      <c r="D7" s="19"/>
      <c r="E7" s="20">
        <f>D5+D6+E5</f>
        <v>9433.67</v>
      </c>
      <c r="F7" s="15"/>
      <c r="G7" s="3"/>
      <c r="H7" s="7" t="s">
        <v>41</v>
      </c>
      <c r="I7" s="9">
        <v>400</v>
      </c>
      <c r="J7" s="3" t="s">
        <v>11</v>
      </c>
      <c r="K7" s="3"/>
      <c r="L7" s="2">
        <v>1</v>
      </c>
      <c r="M7" s="8">
        <v>294</v>
      </c>
      <c r="N7" s="11" t="s">
        <v>50</v>
      </c>
      <c r="O7" s="27" t="s">
        <v>11</v>
      </c>
      <c r="P7" s="12"/>
      <c r="Q7" s="8"/>
      <c r="R7" s="11"/>
      <c r="S7" s="3"/>
    </row>
    <row r="8" spans="1:19">
      <c r="A8" s="14"/>
      <c r="B8" s="18"/>
      <c r="C8" s="18"/>
      <c r="D8" s="18"/>
      <c r="E8" s="20"/>
      <c r="F8" s="4"/>
      <c r="G8" s="3"/>
      <c r="H8" s="7" t="s">
        <v>46</v>
      </c>
      <c r="I8" s="9">
        <v>66.36</v>
      </c>
      <c r="J8" s="3" t="s">
        <v>11</v>
      </c>
      <c r="K8" s="3"/>
      <c r="L8" s="2">
        <v>1</v>
      </c>
      <c r="M8" s="8">
        <f>209.81+194.36</f>
        <v>404.17</v>
      </c>
      <c r="N8" s="11" t="s">
        <v>28</v>
      </c>
      <c r="O8" s="12" t="s">
        <v>11</v>
      </c>
      <c r="P8" s="12"/>
      <c r="Q8" s="8"/>
      <c r="R8" s="11"/>
      <c r="S8" s="3"/>
    </row>
    <row r="9" spans="1:19">
      <c r="A9" s="4"/>
      <c r="B9" s="18"/>
      <c r="C9" s="18"/>
      <c r="D9" s="18"/>
      <c r="E9" s="18"/>
      <c r="F9" s="4"/>
      <c r="G9" s="3"/>
      <c r="H9" s="7" t="s">
        <v>44</v>
      </c>
      <c r="I9" s="9">
        <v>450.45</v>
      </c>
      <c r="J9" s="3" t="s">
        <v>11</v>
      </c>
      <c r="K9" s="3"/>
      <c r="L9" s="2">
        <v>1</v>
      </c>
      <c r="M9" s="8">
        <v>1144.72</v>
      </c>
      <c r="N9" s="11" t="s">
        <v>51</v>
      </c>
      <c r="O9" s="12" t="s">
        <v>11</v>
      </c>
      <c r="P9" s="12"/>
      <c r="Q9" s="8"/>
      <c r="R9" s="11"/>
      <c r="S9" s="3"/>
    </row>
    <row r="10" spans="1:19">
      <c r="A10" s="4"/>
      <c r="B10" s="4"/>
      <c r="C10" s="4"/>
      <c r="D10" s="4"/>
      <c r="E10" s="4"/>
      <c r="F10" s="4"/>
      <c r="G10" s="3"/>
      <c r="H10" s="7" t="s">
        <v>33</v>
      </c>
      <c r="I10" s="9">
        <v>128.15</v>
      </c>
      <c r="J10" s="3" t="s">
        <v>11</v>
      </c>
      <c r="K10" s="3"/>
      <c r="L10" s="2">
        <v>1</v>
      </c>
      <c r="M10" s="8">
        <v>294</v>
      </c>
      <c r="N10" s="11" t="s">
        <v>52</v>
      </c>
      <c r="O10" s="12" t="s">
        <v>11</v>
      </c>
      <c r="P10" s="12"/>
      <c r="Q10" s="8"/>
      <c r="R10" s="11"/>
      <c r="S10" s="3"/>
    </row>
    <row r="11" spans="1:19">
      <c r="A11" s="110"/>
      <c r="B11" s="110"/>
      <c r="C11" s="4"/>
      <c r="D11" s="4"/>
      <c r="E11" s="4"/>
      <c r="F11" s="4"/>
      <c r="G11" s="3"/>
      <c r="H11" s="7" t="s">
        <v>38</v>
      </c>
      <c r="I11" s="9">
        <v>250</v>
      </c>
      <c r="J11" s="3" t="s">
        <v>11</v>
      </c>
      <c r="K11" s="3"/>
      <c r="L11" s="2">
        <v>4</v>
      </c>
      <c r="M11" s="8">
        <v>365.5</v>
      </c>
      <c r="N11" s="11" t="s">
        <v>53</v>
      </c>
      <c r="O11" s="12" t="s">
        <v>11</v>
      </c>
      <c r="P11" s="12"/>
      <c r="Q11" s="8"/>
      <c r="R11" s="11"/>
      <c r="S11" s="3"/>
    </row>
    <row r="12" spans="1:19">
      <c r="A12" s="4"/>
      <c r="B12" s="4"/>
      <c r="C12" s="4"/>
      <c r="D12" s="4"/>
      <c r="E12" s="4"/>
      <c r="F12" s="4"/>
      <c r="G12" s="3"/>
      <c r="H12" s="7" t="s">
        <v>47</v>
      </c>
      <c r="I12" s="9">
        <v>62</v>
      </c>
      <c r="J12" s="3" t="s">
        <v>11</v>
      </c>
      <c r="K12" s="3"/>
      <c r="L12" s="2"/>
      <c r="M12" s="8"/>
      <c r="N12" s="11"/>
      <c r="O12" s="12"/>
      <c r="P12" s="12"/>
      <c r="Q12" s="8"/>
      <c r="R12" s="11"/>
      <c r="S12" s="3"/>
    </row>
    <row r="13" spans="1:19">
      <c r="A13" s="4"/>
      <c r="B13" s="4"/>
      <c r="C13" s="25"/>
      <c r="D13" s="4"/>
      <c r="E13" s="4"/>
      <c r="F13" s="4"/>
      <c r="G13" s="3"/>
      <c r="H13" s="7"/>
      <c r="I13" s="9"/>
      <c r="J13" s="3"/>
      <c r="K13" s="3"/>
      <c r="L13" s="12"/>
      <c r="M13" s="8"/>
      <c r="N13" s="11"/>
      <c r="O13" s="12"/>
      <c r="P13" s="12"/>
      <c r="Q13" s="8"/>
      <c r="R13" s="11"/>
      <c r="S13" s="3"/>
    </row>
    <row r="14" spans="1:19">
      <c r="A14" s="4"/>
      <c r="B14" s="4"/>
      <c r="C14" s="25"/>
      <c r="D14" s="4"/>
      <c r="E14" s="18"/>
      <c r="F14" s="4"/>
      <c r="G14" s="3"/>
      <c r="H14" s="7"/>
      <c r="I14" s="9"/>
      <c r="J14" s="3"/>
      <c r="K14" s="3"/>
      <c r="L14" s="2" t="s">
        <v>3</v>
      </c>
      <c r="M14" s="17">
        <f>((M5*L5)+(M6*L6)+(M7*L7)+(M8*L8)+(M9*L9)+(M10*L10)+(M11+L11)+(M12+L12))*-1</f>
        <v>-5449.17</v>
      </c>
      <c r="N14" s="11"/>
      <c r="O14" s="12"/>
      <c r="P14" s="12"/>
      <c r="Q14" s="8"/>
      <c r="R14" s="11"/>
      <c r="S14" s="3"/>
    </row>
    <row r="15" spans="1:19">
      <c r="A15" s="4"/>
      <c r="B15" s="4"/>
      <c r="C15" s="25"/>
      <c r="D15" s="4"/>
      <c r="E15" s="18"/>
      <c r="F15" s="4"/>
      <c r="G15" s="3"/>
      <c r="H15" s="7"/>
      <c r="I15" s="9"/>
      <c r="J15" s="3"/>
      <c r="K15" s="3"/>
      <c r="L15" s="12"/>
      <c r="M15" s="8"/>
      <c r="N15" s="11"/>
      <c r="O15" s="12"/>
      <c r="P15" s="12"/>
      <c r="Q15" s="8"/>
      <c r="R15" s="11"/>
      <c r="S15" s="3"/>
    </row>
    <row r="16" spans="1:19">
      <c r="A16" s="4"/>
      <c r="B16" s="4"/>
      <c r="C16" s="25"/>
      <c r="D16" s="4"/>
      <c r="E16" s="18"/>
      <c r="F16" s="4"/>
      <c r="G16" s="3"/>
      <c r="H16" s="7"/>
      <c r="I16" s="9"/>
      <c r="J16" s="3"/>
      <c r="K16" s="3"/>
      <c r="L16" s="12"/>
      <c r="M16" s="8"/>
      <c r="N16" s="11"/>
      <c r="O16" s="12"/>
      <c r="P16" s="12"/>
      <c r="Q16" s="8"/>
      <c r="R16" s="11"/>
      <c r="S16" s="3"/>
    </row>
    <row r="17" spans="1:19">
      <c r="A17" s="4"/>
      <c r="B17" s="4"/>
      <c r="C17" s="25"/>
      <c r="D17" s="4"/>
      <c r="E17" s="18"/>
      <c r="F17" s="4"/>
      <c r="G17" s="3"/>
      <c r="H17" s="7"/>
      <c r="I17" s="9"/>
      <c r="J17" s="3"/>
      <c r="K17" s="3"/>
      <c r="L17" s="12"/>
      <c r="M17" s="8"/>
      <c r="N17" s="11"/>
      <c r="O17" s="12"/>
      <c r="P17" s="12"/>
      <c r="Q17" s="8"/>
      <c r="R17" s="11"/>
      <c r="S17" s="3"/>
    </row>
    <row r="18" spans="1:19">
      <c r="A18" s="4"/>
      <c r="B18" s="4"/>
      <c r="C18" s="25"/>
      <c r="D18" s="4"/>
      <c r="E18" s="18"/>
      <c r="F18" s="4"/>
      <c r="G18" s="3"/>
      <c r="H18" s="7"/>
      <c r="I18" s="9"/>
      <c r="J18" s="3"/>
      <c r="K18" s="3"/>
      <c r="L18" s="12"/>
      <c r="M18" s="8"/>
      <c r="N18" s="11"/>
      <c r="O18" s="12"/>
      <c r="P18" s="12"/>
      <c r="Q18" s="8"/>
      <c r="R18" s="11"/>
      <c r="S18" s="3"/>
    </row>
    <row r="19" spans="1:19">
      <c r="A19" s="4"/>
      <c r="B19" s="4"/>
      <c r="C19" s="25"/>
      <c r="D19" s="4"/>
      <c r="E19" s="18"/>
      <c r="F19" s="4"/>
      <c r="G19" s="3"/>
      <c r="H19" s="7"/>
      <c r="I19" s="9"/>
      <c r="J19" s="3"/>
      <c r="K19" s="3"/>
      <c r="L19" s="12"/>
      <c r="M19" s="8"/>
      <c r="N19" s="11"/>
      <c r="O19" s="12"/>
      <c r="P19" s="12"/>
      <c r="Q19" s="8"/>
      <c r="R19" s="11"/>
      <c r="S19" s="3"/>
    </row>
    <row r="20" spans="1:19">
      <c r="A20" s="4"/>
      <c r="B20" s="4"/>
      <c r="C20" s="25"/>
      <c r="D20" s="4"/>
      <c r="E20" s="18"/>
      <c r="F20" s="4"/>
      <c r="G20" s="3"/>
      <c r="H20" s="7"/>
      <c r="I20" s="9"/>
      <c r="J20" s="3"/>
      <c r="K20" s="3"/>
      <c r="L20" s="12"/>
      <c r="M20" s="8"/>
      <c r="N20" s="11"/>
      <c r="O20" s="12"/>
      <c r="P20" s="12"/>
      <c r="Q20" s="8"/>
      <c r="R20" s="11"/>
      <c r="S20" s="3"/>
    </row>
    <row r="21" spans="1:19">
      <c r="A21" s="4"/>
      <c r="B21" s="4"/>
      <c r="C21" s="25"/>
      <c r="D21" s="4"/>
      <c r="E21" s="18"/>
      <c r="F21" s="4"/>
      <c r="G21" s="3"/>
      <c r="H21" s="7"/>
      <c r="I21" s="9"/>
      <c r="J21" s="3"/>
      <c r="K21" s="3"/>
      <c r="L21" s="12"/>
      <c r="M21" s="8"/>
      <c r="N21" s="11"/>
      <c r="O21" s="12"/>
      <c r="P21" s="12"/>
      <c r="Q21" s="8"/>
      <c r="R21" s="11"/>
      <c r="S21" s="3"/>
    </row>
    <row r="22" spans="1:19">
      <c r="A22" s="4"/>
      <c r="B22" s="4"/>
      <c r="C22" s="4"/>
      <c r="D22" s="4"/>
      <c r="E22" s="4"/>
      <c r="F22" s="4"/>
      <c r="G22" s="3"/>
      <c r="H22" s="7"/>
      <c r="I22" s="9"/>
      <c r="J22" s="3"/>
      <c r="K22" s="3"/>
      <c r="L22" s="12"/>
      <c r="M22" s="8"/>
      <c r="N22" s="11"/>
      <c r="O22" s="12"/>
      <c r="P22" s="12"/>
      <c r="Q22" s="8"/>
      <c r="R22" s="11"/>
      <c r="S22" s="3"/>
    </row>
    <row r="23" spans="1:19">
      <c r="A23" s="4"/>
      <c r="B23" s="4"/>
      <c r="C23" s="4"/>
      <c r="D23" s="4"/>
      <c r="E23" s="4"/>
      <c r="F23" s="4"/>
      <c r="G23" s="3"/>
      <c r="H23" s="7"/>
      <c r="I23" s="9"/>
      <c r="J23" s="3"/>
      <c r="K23" s="3"/>
      <c r="L23" s="12"/>
      <c r="M23" s="8"/>
      <c r="N23" s="11"/>
      <c r="O23" s="12"/>
      <c r="P23" s="12"/>
      <c r="Q23" s="8"/>
      <c r="R23" s="11"/>
      <c r="S23" s="3"/>
    </row>
    <row r="24" spans="1:19">
      <c r="A24" s="4"/>
      <c r="B24" s="4"/>
      <c r="C24" s="4"/>
      <c r="D24" s="4"/>
      <c r="E24" s="4"/>
      <c r="F24" s="4"/>
      <c r="G24" s="3"/>
      <c r="H24" s="7"/>
      <c r="I24" s="9"/>
      <c r="J24" s="3"/>
      <c r="K24" s="3"/>
      <c r="L24" s="12"/>
      <c r="M24" s="8"/>
      <c r="N24" s="11"/>
      <c r="O24" s="24"/>
      <c r="P24" s="12"/>
      <c r="Q24" s="8"/>
      <c r="R24" s="11"/>
      <c r="S24" s="3"/>
    </row>
    <row r="25" spans="1:19">
      <c r="A25" s="4"/>
      <c r="B25" s="4"/>
      <c r="C25" s="4"/>
      <c r="D25" s="4"/>
      <c r="E25" s="4"/>
      <c r="F25" s="4"/>
      <c r="G25" s="3"/>
      <c r="H25" s="7"/>
      <c r="I25" s="9"/>
      <c r="J25" s="3"/>
      <c r="K25" s="3"/>
      <c r="L25" s="12"/>
      <c r="M25" s="8"/>
      <c r="N25" s="11"/>
      <c r="O25" s="12"/>
      <c r="P25" s="12"/>
      <c r="Q25" s="8"/>
      <c r="R25" s="11"/>
      <c r="S25" s="3"/>
    </row>
    <row r="26" spans="1:19">
      <c r="A26" s="4"/>
      <c r="B26" s="4"/>
      <c r="C26" s="4"/>
      <c r="D26" s="4"/>
      <c r="E26" s="4"/>
      <c r="F26" s="4"/>
      <c r="G26" s="3"/>
      <c r="H26" s="7"/>
      <c r="I26" s="9"/>
      <c r="J26" s="3"/>
      <c r="K26" s="3"/>
      <c r="L26" s="12"/>
      <c r="M26" s="8"/>
      <c r="N26" s="11"/>
      <c r="O26" s="24"/>
      <c r="P26" s="12"/>
      <c r="Q26" s="8"/>
      <c r="R26" s="11"/>
      <c r="S26" s="3"/>
    </row>
    <row r="27" spans="1:19">
      <c r="A27" s="4"/>
      <c r="B27" s="4"/>
      <c r="C27" s="4"/>
      <c r="D27" s="4"/>
      <c r="E27" s="4"/>
      <c r="F27" s="4"/>
      <c r="G27" s="3"/>
      <c r="H27" s="7"/>
      <c r="I27" s="9"/>
      <c r="J27" s="3"/>
      <c r="K27" s="3"/>
      <c r="L27" s="12"/>
      <c r="M27" s="8"/>
      <c r="N27" s="11"/>
      <c r="O27" s="12"/>
      <c r="P27" s="12"/>
      <c r="Q27" s="8"/>
      <c r="R27" s="11"/>
      <c r="S27" s="3"/>
    </row>
    <row r="28" spans="1:19">
      <c r="A28" s="4"/>
      <c r="B28" s="4"/>
      <c r="C28" s="4"/>
      <c r="D28" s="4"/>
      <c r="E28" s="4"/>
      <c r="F28" s="4"/>
      <c r="G28" s="3"/>
      <c r="H28" s="7"/>
      <c r="I28" s="9"/>
      <c r="J28" s="3"/>
      <c r="K28" s="3"/>
      <c r="L28" s="12"/>
      <c r="M28" s="8"/>
      <c r="N28" s="11"/>
      <c r="O28" s="12"/>
      <c r="P28" s="12"/>
      <c r="Q28" s="8"/>
      <c r="R28" s="11"/>
      <c r="S28" s="3"/>
    </row>
    <row r="29" spans="1:19">
      <c r="A29" s="3"/>
      <c r="B29" s="4"/>
      <c r="C29" s="3"/>
      <c r="D29" s="3"/>
      <c r="E29" s="3"/>
      <c r="F29" s="3"/>
      <c r="G29" s="3"/>
      <c r="H29" s="7"/>
      <c r="I29" s="9"/>
      <c r="J29" s="3"/>
      <c r="K29" s="3"/>
      <c r="L29" s="12"/>
      <c r="M29" s="8"/>
      <c r="N29" s="11"/>
      <c r="O29" s="12"/>
      <c r="P29" s="12"/>
      <c r="Q29" s="8"/>
      <c r="R29" s="11"/>
      <c r="S29" s="3"/>
    </row>
    <row r="30" spans="1:19">
      <c r="A30" s="3"/>
      <c r="B30" s="4"/>
      <c r="C30" s="3"/>
      <c r="D30" s="3"/>
      <c r="E30" s="3"/>
      <c r="F30" s="3"/>
      <c r="G30" s="3"/>
      <c r="H30" s="7"/>
      <c r="I30" s="9"/>
      <c r="J30" s="3"/>
      <c r="K30" s="3"/>
      <c r="L30" s="12"/>
      <c r="M30" s="8"/>
      <c r="N30" s="11"/>
      <c r="O30" s="12"/>
      <c r="P30" s="12"/>
      <c r="Q30" s="8"/>
      <c r="R30" s="11"/>
      <c r="S30" s="3"/>
    </row>
    <row r="31" spans="1:19">
      <c r="A31" s="3"/>
      <c r="B31" s="4"/>
      <c r="C31" s="3"/>
      <c r="D31" s="3"/>
      <c r="E31" s="3"/>
      <c r="F31" s="3"/>
      <c r="G31" s="3"/>
      <c r="H31" s="7"/>
      <c r="I31" s="9"/>
      <c r="J31" s="3"/>
      <c r="K31" s="3"/>
      <c r="L31" s="12"/>
      <c r="M31" s="8"/>
      <c r="N31" s="11"/>
      <c r="O31" s="12"/>
      <c r="P31" s="12"/>
      <c r="Q31" s="8"/>
      <c r="R31" s="11"/>
      <c r="S31" s="3"/>
    </row>
    <row r="32" spans="1:19">
      <c r="A32" s="3"/>
      <c r="B32" s="4"/>
      <c r="C32" s="3"/>
      <c r="D32" s="3"/>
      <c r="E32" s="3"/>
      <c r="F32" s="3"/>
      <c r="G32" s="3"/>
      <c r="H32" s="7"/>
      <c r="I32" s="9"/>
      <c r="J32" s="3"/>
      <c r="K32" s="3"/>
      <c r="L32" s="12"/>
      <c r="M32" s="8"/>
      <c r="N32" s="11"/>
      <c r="O32" s="12"/>
      <c r="P32" s="12"/>
      <c r="Q32" s="8"/>
      <c r="R32" s="11"/>
      <c r="S32" s="3"/>
    </row>
    <row r="33" spans="1:19">
      <c r="A33" s="3"/>
      <c r="B33" s="4"/>
      <c r="C33" s="3"/>
      <c r="D33" s="3"/>
      <c r="E33" s="3"/>
      <c r="F33" s="3"/>
      <c r="G33" s="3"/>
      <c r="H33" s="7"/>
      <c r="I33" s="9"/>
      <c r="J33" s="3"/>
      <c r="K33" s="3"/>
      <c r="L33" s="12"/>
      <c r="M33" s="8"/>
      <c r="N33" s="11"/>
      <c r="O33" s="12"/>
      <c r="P33" s="12"/>
      <c r="Q33" s="8"/>
      <c r="R33" s="11"/>
      <c r="S33" s="3"/>
    </row>
    <row r="34" spans="1:19">
      <c r="A34" s="3"/>
      <c r="B34" s="4"/>
      <c r="C34" s="3"/>
      <c r="D34" s="3"/>
      <c r="E34" s="3"/>
      <c r="F34" s="3"/>
      <c r="G34" s="3"/>
      <c r="H34" s="7"/>
      <c r="I34" s="9"/>
      <c r="J34" s="3"/>
      <c r="K34" s="3"/>
      <c r="L34" s="12"/>
      <c r="M34" s="8"/>
      <c r="N34" s="11"/>
      <c r="O34" s="12"/>
      <c r="P34" s="12"/>
      <c r="Q34" s="8"/>
      <c r="R34" s="11"/>
      <c r="S34" s="3"/>
    </row>
    <row r="35" spans="1:19">
      <c r="A35" s="3"/>
      <c r="B35" s="4"/>
      <c r="C35" s="3"/>
      <c r="D35" s="3"/>
      <c r="E35" s="3"/>
      <c r="F35" s="3"/>
      <c r="G35" s="3"/>
      <c r="H35" s="7"/>
      <c r="I35" s="9"/>
      <c r="J35" s="3"/>
      <c r="K35" s="3"/>
      <c r="L35" s="12"/>
      <c r="M35" s="8"/>
      <c r="N35" s="11"/>
      <c r="O35" s="12"/>
      <c r="P35" s="12"/>
      <c r="Q35" s="8"/>
      <c r="R35" s="11"/>
      <c r="S35" s="3"/>
    </row>
    <row r="36" spans="1:19">
      <c r="A36" s="3"/>
      <c r="B36" s="4"/>
      <c r="C36" s="3"/>
      <c r="D36" s="3"/>
      <c r="E36" s="3"/>
      <c r="F36" s="3"/>
      <c r="G36" s="3"/>
      <c r="H36" s="7"/>
      <c r="I36" s="9"/>
      <c r="J36" s="3"/>
      <c r="K36" s="3"/>
      <c r="L36" s="12"/>
      <c r="M36" s="8"/>
      <c r="N36" s="11"/>
      <c r="O36" s="12"/>
      <c r="P36" s="12"/>
      <c r="Q36" s="8"/>
      <c r="R36" s="11"/>
      <c r="S36" s="3"/>
    </row>
    <row r="37" spans="1:19">
      <c r="A37" s="3"/>
      <c r="B37" s="4"/>
      <c r="C37" s="3"/>
      <c r="D37" s="3"/>
      <c r="E37" s="3"/>
      <c r="F37" s="3"/>
      <c r="G37" s="3"/>
      <c r="H37" s="7"/>
      <c r="I37" s="9"/>
      <c r="J37" s="3"/>
      <c r="K37" s="3"/>
      <c r="L37" s="12"/>
      <c r="M37" s="8"/>
      <c r="N37" s="11"/>
      <c r="O37" s="12"/>
      <c r="P37" s="12"/>
      <c r="Q37" s="8"/>
      <c r="R37" s="11"/>
      <c r="S37" s="3"/>
    </row>
    <row r="38" spans="1:19">
      <c r="A38" s="3"/>
      <c r="B38" s="4"/>
      <c r="C38" s="3"/>
      <c r="D38" s="3"/>
      <c r="E38" s="3"/>
      <c r="F38" s="3"/>
      <c r="G38" s="3"/>
      <c r="H38" s="7"/>
      <c r="I38" s="9"/>
      <c r="J38" s="3"/>
      <c r="K38" s="3"/>
      <c r="L38" s="12"/>
      <c r="M38" s="8"/>
      <c r="N38" s="11"/>
      <c r="O38" s="12"/>
      <c r="P38" s="12"/>
      <c r="Q38" s="8"/>
      <c r="R38" s="11"/>
      <c r="S38" s="3"/>
    </row>
    <row r="39" spans="1:19">
      <c r="A39" s="3"/>
      <c r="B39" s="4"/>
      <c r="C39" s="3"/>
      <c r="D39" s="3"/>
      <c r="E39" s="3"/>
      <c r="F39" s="3"/>
      <c r="G39" s="3"/>
      <c r="H39" s="7"/>
      <c r="I39" s="9"/>
      <c r="J39" s="3"/>
      <c r="K39" s="3"/>
      <c r="L39" s="12"/>
      <c r="M39" s="8"/>
      <c r="N39" s="11"/>
      <c r="O39" s="12"/>
      <c r="P39" s="12"/>
      <c r="Q39" s="8"/>
      <c r="R39" s="11"/>
      <c r="S39" s="3"/>
    </row>
    <row r="40" spans="1:19">
      <c r="A40" s="3"/>
      <c r="B40" s="4"/>
      <c r="C40" s="3"/>
      <c r="D40" s="3"/>
      <c r="E40" s="3"/>
      <c r="F40" s="3"/>
      <c r="G40" s="3"/>
      <c r="H40" s="7"/>
      <c r="I40" s="9"/>
      <c r="J40" s="3"/>
      <c r="K40" s="3"/>
      <c r="L40" s="12"/>
      <c r="M40" s="8"/>
      <c r="N40" s="11"/>
      <c r="O40" s="12"/>
      <c r="P40" s="12"/>
      <c r="Q40" s="8"/>
      <c r="R40" s="11"/>
      <c r="S40" s="3"/>
    </row>
    <row r="41" spans="1:19">
      <c r="A41" s="3"/>
      <c r="B41" s="4"/>
      <c r="C41" s="3"/>
      <c r="D41" s="3"/>
      <c r="E41" s="3"/>
      <c r="F41" s="3"/>
      <c r="G41" s="3"/>
      <c r="H41" s="7"/>
      <c r="I41" s="9"/>
      <c r="J41" s="3"/>
      <c r="K41" s="3"/>
      <c r="L41" s="12"/>
      <c r="M41" s="8"/>
      <c r="N41" s="11"/>
      <c r="O41" s="12"/>
      <c r="P41" s="12"/>
      <c r="Q41" s="8"/>
      <c r="R41" s="11"/>
      <c r="S41" s="3"/>
    </row>
  </sheetData>
  <mergeCells count="10">
    <mergeCell ref="E5:E6"/>
    <mergeCell ref="A11:B11"/>
    <mergeCell ref="A1:E1"/>
    <mergeCell ref="H1:I1"/>
    <mergeCell ref="L1:N1"/>
    <mergeCell ref="P1:R1"/>
    <mergeCell ref="A2:E2"/>
    <mergeCell ref="H2:I2"/>
    <mergeCell ref="L2:N2"/>
    <mergeCell ref="P2:R2"/>
  </mergeCells>
  <conditionalFormatting sqref="A2:F3">
    <cfRule type="cellIs" dxfId="8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D4B89-4163-4F57-82F6-BA78F9D7C298}">
  <dimension ref="A1:S41"/>
  <sheetViews>
    <sheetView showGridLines="0" zoomScaleNormal="100" workbookViewId="0">
      <selection activeCell="D10" sqref="A10:D22"/>
    </sheetView>
  </sheetViews>
  <sheetFormatPr defaultColWidth="13.28515625" defaultRowHeight="15"/>
  <cols>
    <col min="1" max="1" width="15.28515625" style="1" bestFit="1" customWidth="1"/>
    <col min="2" max="2" width="12" style="1" bestFit="1" customWidth="1"/>
    <col min="3" max="3" width="15" style="1" bestFit="1" customWidth="1"/>
    <col min="4" max="4" width="12" style="1" bestFit="1" customWidth="1"/>
    <col min="5" max="5" width="17.5703125" style="1" bestFit="1" customWidth="1"/>
    <col min="6" max="6" width="17.5703125" style="1" customWidth="1"/>
    <col min="7" max="7" width="13.28515625" style="1" customWidth="1"/>
    <col min="8" max="8" width="17.85546875" style="1" bestFit="1" customWidth="1"/>
    <col min="9" max="9" width="12" style="1" bestFit="1" customWidth="1"/>
    <col min="10" max="12" width="9.140625" style="1"/>
    <col min="13" max="13" width="12.85546875" style="1" bestFit="1" customWidth="1"/>
    <col min="14" max="14" width="15.42578125" style="1" bestFit="1" customWidth="1"/>
    <col min="15" max="16384" width="13.28515625" style="1"/>
  </cols>
  <sheetData>
    <row r="1" spans="1:19" ht="33" customHeight="1">
      <c r="A1" s="103" t="s">
        <v>0</v>
      </c>
      <c r="B1" s="103"/>
      <c r="C1" s="103"/>
      <c r="D1" s="103"/>
      <c r="E1" s="103"/>
      <c r="F1" s="81"/>
      <c r="G1" s="6"/>
      <c r="H1" s="103" t="s">
        <v>1</v>
      </c>
      <c r="I1" s="103"/>
      <c r="J1" s="6"/>
      <c r="K1" s="6"/>
      <c r="L1" s="103" t="s">
        <v>2</v>
      </c>
      <c r="M1" s="103"/>
      <c r="N1" s="103"/>
      <c r="O1" s="6"/>
      <c r="P1" s="103" t="s">
        <v>3</v>
      </c>
      <c r="Q1" s="103"/>
      <c r="R1" s="103"/>
      <c r="S1" s="6"/>
    </row>
    <row r="2" spans="1:19" ht="18">
      <c r="A2" s="105">
        <f>E7+P2</f>
        <v>1886.6899999999996</v>
      </c>
      <c r="B2" s="105"/>
      <c r="C2" s="105"/>
      <c r="D2" s="105"/>
      <c r="E2" s="105"/>
      <c r="F2" s="83"/>
      <c r="G2" s="5"/>
      <c r="H2" s="107">
        <f>SUM(I4:I11)*-1</f>
        <v>-3345.5600000000004</v>
      </c>
      <c r="I2" s="107"/>
      <c r="J2" s="5"/>
      <c r="K2" s="5"/>
      <c r="L2" s="108">
        <f>SUM(M5:M12)*-1</f>
        <v>-861.37</v>
      </c>
      <c r="M2" s="108"/>
      <c r="N2" s="108"/>
      <c r="O2" s="21"/>
      <c r="P2" s="104">
        <f>SUM(H2:N2)</f>
        <v>-4206.93</v>
      </c>
      <c r="Q2" s="104"/>
      <c r="R2" s="104"/>
      <c r="S2" s="5"/>
    </row>
    <row r="3" spans="1:19" ht="16.5" customHeight="1">
      <c r="A3" s="83"/>
      <c r="B3" s="83"/>
      <c r="C3" s="83"/>
      <c r="D3" s="83"/>
      <c r="E3" s="83"/>
      <c r="F3" s="83"/>
      <c r="G3" s="5"/>
      <c r="H3" s="84"/>
      <c r="I3" s="84"/>
      <c r="J3" s="2" t="s">
        <v>4</v>
      </c>
      <c r="K3" s="5"/>
      <c r="L3" s="85"/>
      <c r="M3" s="85"/>
      <c r="N3" s="85"/>
      <c r="O3" s="82"/>
      <c r="P3" s="82"/>
      <c r="Q3" s="82"/>
      <c r="R3" s="82"/>
      <c r="S3" s="5"/>
    </row>
    <row r="4" spans="1:19">
      <c r="A4" s="2"/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/>
      <c r="H4" s="7" t="s">
        <v>10</v>
      </c>
      <c r="I4" s="9">
        <v>1460</v>
      </c>
      <c r="J4" s="3" t="s">
        <v>11</v>
      </c>
      <c r="K4" s="2"/>
      <c r="L4" s="2" t="s">
        <v>12</v>
      </c>
      <c r="M4" s="2" t="s">
        <v>13</v>
      </c>
      <c r="N4" s="2" t="s">
        <v>14</v>
      </c>
      <c r="O4" s="2" t="s">
        <v>4</v>
      </c>
      <c r="P4" s="2"/>
      <c r="Q4" s="13" t="s">
        <v>15</v>
      </c>
      <c r="R4" s="22" t="s">
        <v>16</v>
      </c>
      <c r="S4" s="2"/>
    </row>
    <row r="5" spans="1:19">
      <c r="A5" s="14" t="s">
        <v>17</v>
      </c>
      <c r="B5" s="20">
        <v>3500</v>
      </c>
      <c r="C5" s="20">
        <f>B5-D5</f>
        <v>2900</v>
      </c>
      <c r="D5" s="20">
        <v>600</v>
      </c>
      <c r="E5" s="106">
        <v>3284.62</v>
      </c>
      <c r="F5" s="16">
        <f>IF(A2&gt;0,A2/2,"R$ 0,00")</f>
        <v>943.3449999999998</v>
      </c>
      <c r="G5" s="3"/>
      <c r="H5" s="7" t="s">
        <v>18</v>
      </c>
      <c r="I5" s="9">
        <v>129.9</v>
      </c>
      <c r="J5" s="3" t="s">
        <v>11</v>
      </c>
      <c r="K5" s="3"/>
      <c r="L5" s="2">
        <v>1</v>
      </c>
      <c r="M5" s="8">
        <v>861.37</v>
      </c>
      <c r="N5" s="11" t="s">
        <v>49</v>
      </c>
      <c r="O5" s="3" t="s">
        <v>11</v>
      </c>
      <c r="P5" s="12"/>
      <c r="Q5" s="23">
        <f>SUMIF(J:J,"ok",I:I)+SUMIF(O:O,"ok",M:M)</f>
        <v>4268.93</v>
      </c>
      <c r="R5" s="17">
        <f>P2+Q5</f>
        <v>62</v>
      </c>
      <c r="S5" s="3"/>
    </row>
    <row r="6" spans="1:19">
      <c r="A6" s="14" t="s">
        <v>20</v>
      </c>
      <c r="B6" s="20">
        <v>5369.15</v>
      </c>
      <c r="C6" s="20">
        <f>B6-D6</f>
        <v>3160.1499999999996</v>
      </c>
      <c r="D6" s="20">
        <v>2209</v>
      </c>
      <c r="E6" s="106"/>
      <c r="F6" s="16">
        <f>F5</f>
        <v>943.3449999999998</v>
      </c>
      <c r="G6" s="3"/>
      <c r="H6" s="7" t="s">
        <v>21</v>
      </c>
      <c r="I6" s="9">
        <v>74.209999999999994</v>
      </c>
      <c r="J6" s="3" t="s">
        <v>11</v>
      </c>
      <c r="K6" s="3"/>
      <c r="L6" s="2"/>
      <c r="M6" s="8"/>
      <c r="N6" s="11"/>
      <c r="O6" s="3"/>
      <c r="P6" s="12"/>
      <c r="Q6" s="8"/>
      <c r="R6" s="11"/>
      <c r="S6" s="3"/>
    </row>
    <row r="7" spans="1:19">
      <c r="A7" s="14" t="s">
        <v>3</v>
      </c>
      <c r="B7" s="18"/>
      <c r="C7" s="18"/>
      <c r="D7" s="19"/>
      <c r="E7" s="20">
        <f>D5+D6+E5</f>
        <v>6093.62</v>
      </c>
      <c r="F7" s="15"/>
      <c r="G7" s="3"/>
      <c r="H7" s="7" t="s">
        <v>41</v>
      </c>
      <c r="I7" s="9">
        <v>700</v>
      </c>
      <c r="J7" s="3" t="s">
        <v>11</v>
      </c>
      <c r="K7" s="3"/>
      <c r="L7" s="2"/>
      <c r="M7" s="8"/>
      <c r="N7" s="11"/>
      <c r="O7" s="3"/>
      <c r="P7" s="12"/>
      <c r="Q7" s="8"/>
      <c r="R7" s="11"/>
      <c r="S7" s="3"/>
    </row>
    <row r="8" spans="1:19">
      <c r="A8" s="14"/>
      <c r="B8" s="18"/>
      <c r="C8" s="18"/>
      <c r="D8" s="18"/>
      <c r="E8" s="20"/>
      <c r="F8" s="4"/>
      <c r="G8" s="3"/>
      <c r="H8" s="7" t="s">
        <v>46</v>
      </c>
      <c r="I8" s="9">
        <v>66.36</v>
      </c>
      <c r="J8" s="3" t="s">
        <v>11</v>
      </c>
      <c r="K8" s="3"/>
      <c r="L8" s="2"/>
      <c r="M8" s="8"/>
      <c r="N8" s="11"/>
      <c r="O8" s="12"/>
      <c r="P8" s="12"/>
      <c r="Q8" s="8"/>
      <c r="R8" s="11"/>
      <c r="S8" s="3"/>
    </row>
    <row r="9" spans="1:19">
      <c r="A9" s="4"/>
      <c r="B9" s="18"/>
      <c r="C9" s="18"/>
      <c r="D9" s="18"/>
      <c r="E9" s="18"/>
      <c r="F9" s="4"/>
      <c r="G9" s="3"/>
      <c r="H9" s="7" t="s">
        <v>44</v>
      </c>
      <c r="I9" s="9">
        <v>438.3</v>
      </c>
      <c r="J9" s="3" t="s">
        <v>11</v>
      </c>
      <c r="K9" s="3"/>
      <c r="L9" s="2"/>
      <c r="M9" s="8"/>
      <c r="N9" s="11"/>
      <c r="O9" s="12"/>
      <c r="P9" s="12"/>
      <c r="Q9" s="8"/>
      <c r="R9" s="11"/>
      <c r="S9" s="3"/>
    </row>
    <row r="10" spans="1:19">
      <c r="A10" s="4"/>
      <c r="B10" s="4"/>
      <c r="C10" s="4"/>
      <c r="D10" s="4"/>
      <c r="E10" s="4"/>
      <c r="F10" s="4"/>
      <c r="G10" s="3"/>
      <c r="H10" s="7" t="s">
        <v>33</v>
      </c>
      <c r="I10" s="9">
        <v>76.790000000000006</v>
      </c>
      <c r="J10" s="3" t="s">
        <v>11</v>
      </c>
      <c r="K10" s="3"/>
      <c r="L10" s="2"/>
      <c r="M10" s="8"/>
      <c r="N10" s="11"/>
      <c r="O10" s="12"/>
      <c r="P10" s="12"/>
      <c r="Q10" s="8"/>
      <c r="R10" s="11"/>
      <c r="S10" s="3"/>
    </row>
    <row r="11" spans="1:19">
      <c r="A11" s="110"/>
      <c r="B11" s="110"/>
      <c r="C11" s="4"/>
      <c r="D11" s="4"/>
      <c r="E11" s="4"/>
      <c r="F11" s="4"/>
      <c r="G11" s="3"/>
      <c r="H11" s="7" t="s">
        <v>38</v>
      </c>
      <c r="I11" s="9">
        <v>400</v>
      </c>
      <c r="J11" s="3" t="s">
        <v>11</v>
      </c>
      <c r="K11" s="3"/>
      <c r="L11" s="2"/>
      <c r="M11" s="8"/>
      <c r="N11" s="11"/>
      <c r="O11" s="12"/>
      <c r="P11" s="12"/>
      <c r="Q11" s="8"/>
      <c r="R11" s="11"/>
      <c r="S11" s="3"/>
    </row>
    <row r="12" spans="1:19">
      <c r="A12" s="4"/>
      <c r="B12" s="4"/>
      <c r="C12" s="4"/>
      <c r="D12" s="4"/>
      <c r="E12" s="4"/>
      <c r="F12" s="4"/>
      <c r="G12" s="3"/>
      <c r="H12" s="7" t="s">
        <v>47</v>
      </c>
      <c r="I12" s="9">
        <v>62</v>
      </c>
      <c r="J12" s="3" t="s">
        <v>11</v>
      </c>
      <c r="K12" s="3"/>
      <c r="L12" s="2"/>
      <c r="M12" s="8"/>
      <c r="N12" s="11"/>
      <c r="O12" s="12"/>
      <c r="P12" s="12"/>
      <c r="Q12" s="8"/>
      <c r="R12" s="11"/>
      <c r="S12" s="3"/>
    </row>
    <row r="13" spans="1:19">
      <c r="A13" s="4"/>
      <c r="B13" s="4"/>
      <c r="C13" s="25"/>
      <c r="D13" s="4"/>
      <c r="E13" s="4"/>
      <c r="F13" s="4"/>
      <c r="G13" s="3"/>
      <c r="H13" s="7"/>
      <c r="I13" s="9"/>
      <c r="J13" s="3"/>
      <c r="K13" s="3"/>
      <c r="L13" s="12"/>
      <c r="M13" s="8"/>
      <c r="N13" s="11"/>
      <c r="O13" s="12"/>
      <c r="P13" s="12"/>
      <c r="Q13" s="8"/>
      <c r="R13" s="11"/>
      <c r="S13" s="3"/>
    </row>
    <row r="14" spans="1:19">
      <c r="A14" s="4"/>
      <c r="B14" s="4"/>
      <c r="C14" s="25"/>
      <c r="D14" s="4"/>
      <c r="E14" s="18"/>
      <c r="F14" s="4"/>
      <c r="G14" s="3"/>
      <c r="H14" s="7"/>
      <c r="I14" s="9"/>
      <c r="J14" s="3"/>
      <c r="K14" s="3"/>
      <c r="L14" s="2" t="s">
        <v>3</v>
      </c>
      <c r="M14" s="17">
        <f>((M5*L5)+(M6*L6)+(M7*L7)+(M8*L8)+(M9*L9)+(M10*L10)+(M11+L11)+(M12+L12))*-1</f>
        <v>-861.37</v>
      </c>
      <c r="N14" s="11"/>
      <c r="O14" s="12"/>
      <c r="P14" s="12"/>
      <c r="Q14" s="8"/>
      <c r="R14" s="11"/>
      <c r="S14" s="3"/>
    </row>
    <row r="15" spans="1:19">
      <c r="A15" s="4"/>
      <c r="B15" s="4"/>
      <c r="C15" s="25"/>
      <c r="D15" s="4"/>
      <c r="E15" s="18"/>
      <c r="F15" s="4"/>
      <c r="G15" s="3"/>
      <c r="H15" s="7"/>
      <c r="I15" s="9"/>
      <c r="J15" s="3"/>
      <c r="K15" s="3"/>
      <c r="L15" s="12"/>
      <c r="M15" s="8"/>
      <c r="N15" s="11"/>
      <c r="O15" s="12"/>
      <c r="P15" s="12"/>
      <c r="Q15" s="8"/>
      <c r="R15" s="11"/>
      <c r="S15" s="3"/>
    </row>
    <row r="16" spans="1:19">
      <c r="A16" s="4"/>
      <c r="B16" s="4"/>
      <c r="C16" s="25"/>
      <c r="D16" s="4"/>
      <c r="E16" s="18"/>
      <c r="F16" s="4"/>
      <c r="G16" s="3"/>
      <c r="H16" s="7"/>
      <c r="I16" s="9"/>
      <c r="J16" s="3"/>
      <c r="K16" s="3"/>
      <c r="L16" s="12"/>
      <c r="M16" s="8"/>
      <c r="N16" s="11"/>
      <c r="O16" s="12"/>
      <c r="P16" s="12"/>
      <c r="Q16" s="8"/>
      <c r="R16" s="11"/>
      <c r="S16" s="3"/>
    </row>
    <row r="17" spans="1:19">
      <c r="A17" s="4"/>
      <c r="B17" s="4"/>
      <c r="C17" s="25"/>
      <c r="D17" s="4"/>
      <c r="E17" s="18"/>
      <c r="F17" s="4"/>
      <c r="G17" s="3"/>
      <c r="H17" s="7"/>
      <c r="I17" s="9"/>
      <c r="J17" s="3"/>
      <c r="K17" s="3"/>
      <c r="L17" s="12"/>
      <c r="M17" s="8"/>
      <c r="N17" s="11"/>
      <c r="O17" s="12"/>
      <c r="P17" s="12"/>
      <c r="Q17" s="8"/>
      <c r="R17" s="11"/>
      <c r="S17" s="3"/>
    </row>
    <row r="18" spans="1:19">
      <c r="A18" s="4"/>
      <c r="B18" s="4"/>
      <c r="C18" s="25"/>
      <c r="D18" s="4"/>
      <c r="E18" s="18"/>
      <c r="F18" s="4"/>
      <c r="G18" s="3"/>
      <c r="H18" s="7"/>
      <c r="I18" s="9"/>
      <c r="J18" s="3"/>
      <c r="K18" s="3"/>
      <c r="L18" s="12"/>
      <c r="M18" s="8"/>
      <c r="N18" s="11"/>
      <c r="O18" s="12"/>
      <c r="P18" s="12"/>
      <c r="Q18" s="8"/>
      <c r="R18" s="11"/>
      <c r="S18" s="3"/>
    </row>
    <row r="19" spans="1:19">
      <c r="A19" s="4"/>
      <c r="B19" s="4"/>
      <c r="C19" s="25"/>
      <c r="D19" s="4"/>
      <c r="E19" s="18"/>
      <c r="F19" s="4"/>
      <c r="G19" s="3"/>
      <c r="H19" s="7"/>
      <c r="I19" s="9"/>
      <c r="J19" s="3"/>
      <c r="K19" s="3"/>
      <c r="L19" s="12"/>
      <c r="M19" s="8"/>
      <c r="N19" s="11"/>
      <c r="O19" s="12"/>
      <c r="P19" s="12"/>
      <c r="Q19" s="8"/>
      <c r="R19" s="11"/>
      <c r="S19" s="3"/>
    </row>
    <row r="20" spans="1:19">
      <c r="A20" s="4"/>
      <c r="B20" s="4"/>
      <c r="C20" s="25"/>
      <c r="D20" s="4"/>
      <c r="E20" s="18"/>
      <c r="F20" s="4"/>
      <c r="G20" s="3"/>
      <c r="H20" s="7"/>
      <c r="I20" s="9"/>
      <c r="J20" s="3"/>
      <c r="K20" s="3"/>
      <c r="L20" s="12"/>
      <c r="M20" s="8"/>
      <c r="N20" s="11"/>
      <c r="O20" s="12"/>
      <c r="P20" s="12"/>
      <c r="Q20" s="8"/>
      <c r="R20" s="11"/>
      <c r="S20" s="3"/>
    </row>
    <row r="21" spans="1:19">
      <c r="A21" s="4"/>
      <c r="B21" s="4"/>
      <c r="C21" s="25"/>
      <c r="D21" s="4"/>
      <c r="E21" s="18"/>
      <c r="F21" s="4"/>
      <c r="G21" s="3"/>
      <c r="H21" s="7"/>
      <c r="I21" s="9"/>
      <c r="J21" s="3"/>
      <c r="K21" s="3"/>
      <c r="L21" s="12"/>
      <c r="M21" s="8"/>
      <c r="N21" s="11"/>
      <c r="O21" s="12"/>
      <c r="P21" s="12"/>
      <c r="Q21" s="8"/>
      <c r="R21" s="11"/>
      <c r="S21" s="3"/>
    </row>
    <row r="22" spans="1:19">
      <c r="A22" s="4"/>
      <c r="B22" s="4"/>
      <c r="C22" s="4"/>
      <c r="D22" s="4"/>
      <c r="E22" s="4"/>
      <c r="F22" s="4"/>
      <c r="G22" s="3"/>
      <c r="H22" s="7"/>
      <c r="I22" s="9"/>
      <c r="J22" s="3"/>
      <c r="K22" s="3"/>
      <c r="L22" s="12"/>
      <c r="M22" s="8"/>
      <c r="N22" s="11"/>
      <c r="O22" s="12"/>
      <c r="P22" s="12"/>
      <c r="Q22" s="8"/>
      <c r="R22" s="11"/>
      <c r="S22" s="3"/>
    </row>
    <row r="23" spans="1:19">
      <c r="A23" s="4"/>
      <c r="B23" s="4"/>
      <c r="C23" s="4"/>
      <c r="D23" s="4"/>
      <c r="E23" s="4"/>
      <c r="F23" s="4"/>
      <c r="G23" s="3"/>
      <c r="H23" s="7"/>
      <c r="I23" s="9"/>
      <c r="J23" s="3"/>
      <c r="K23" s="3"/>
      <c r="L23" s="12"/>
      <c r="M23" s="8"/>
      <c r="N23" s="11"/>
      <c r="O23" s="12"/>
      <c r="P23" s="12"/>
      <c r="Q23" s="8"/>
      <c r="R23" s="11"/>
      <c r="S23" s="3"/>
    </row>
    <row r="24" spans="1:19">
      <c r="A24" s="4"/>
      <c r="B24" s="4"/>
      <c r="C24" s="4"/>
      <c r="D24" s="4"/>
      <c r="E24" s="4"/>
      <c r="F24" s="4"/>
      <c r="G24" s="3"/>
      <c r="H24" s="7"/>
      <c r="I24" s="9"/>
      <c r="J24" s="3"/>
      <c r="K24" s="3"/>
      <c r="L24" s="12"/>
      <c r="M24" s="8"/>
      <c r="N24" s="11"/>
      <c r="O24" s="24"/>
      <c r="P24" s="12"/>
      <c r="Q24" s="8"/>
      <c r="R24" s="11"/>
      <c r="S24" s="3"/>
    </row>
    <row r="25" spans="1:19">
      <c r="A25" s="4"/>
      <c r="B25" s="4"/>
      <c r="C25" s="4"/>
      <c r="D25" s="4"/>
      <c r="E25" s="4"/>
      <c r="F25" s="4"/>
      <c r="G25" s="3"/>
      <c r="H25" s="7"/>
      <c r="I25" s="9"/>
      <c r="J25" s="3"/>
      <c r="K25" s="3"/>
      <c r="L25" s="12"/>
      <c r="M25" s="8"/>
      <c r="N25" s="11"/>
      <c r="O25" s="12"/>
      <c r="P25" s="12"/>
      <c r="Q25" s="8"/>
      <c r="R25" s="11"/>
      <c r="S25" s="3"/>
    </row>
    <row r="26" spans="1:19">
      <c r="A26" s="4"/>
      <c r="B26" s="4"/>
      <c r="C26" s="4"/>
      <c r="D26" s="4"/>
      <c r="E26" s="4"/>
      <c r="F26" s="4"/>
      <c r="G26" s="3"/>
      <c r="H26" s="7"/>
      <c r="I26" s="9"/>
      <c r="J26" s="3"/>
      <c r="K26" s="3"/>
      <c r="L26" s="12"/>
      <c r="M26" s="8"/>
      <c r="N26" s="11"/>
      <c r="O26" s="24"/>
      <c r="P26" s="12"/>
      <c r="Q26" s="8"/>
      <c r="R26" s="11"/>
      <c r="S26" s="3"/>
    </row>
    <row r="27" spans="1:19">
      <c r="A27" s="4"/>
      <c r="B27" s="4"/>
      <c r="C27" s="4"/>
      <c r="D27" s="4"/>
      <c r="E27" s="4"/>
      <c r="F27" s="4"/>
      <c r="G27" s="3"/>
      <c r="H27" s="7"/>
      <c r="I27" s="9"/>
      <c r="J27" s="3"/>
      <c r="K27" s="3"/>
      <c r="L27" s="12"/>
      <c r="M27" s="8"/>
      <c r="N27" s="11"/>
      <c r="O27" s="12"/>
      <c r="P27" s="12"/>
      <c r="Q27" s="8"/>
      <c r="R27" s="11"/>
      <c r="S27" s="3"/>
    </row>
    <row r="28" spans="1:19">
      <c r="A28" s="4"/>
      <c r="B28" s="4"/>
      <c r="C28" s="4"/>
      <c r="D28" s="4"/>
      <c r="E28" s="4"/>
      <c r="F28" s="4"/>
      <c r="G28" s="3"/>
      <c r="H28" s="7"/>
      <c r="I28" s="9"/>
      <c r="J28" s="3"/>
      <c r="K28" s="3"/>
      <c r="L28" s="12"/>
      <c r="M28" s="8"/>
      <c r="N28" s="11"/>
      <c r="O28" s="12"/>
      <c r="P28" s="12"/>
      <c r="Q28" s="8"/>
      <c r="R28" s="11"/>
      <c r="S28" s="3"/>
    </row>
    <row r="29" spans="1:19">
      <c r="A29" s="3"/>
      <c r="B29" s="4"/>
      <c r="C29" s="3"/>
      <c r="D29" s="3"/>
      <c r="E29" s="3"/>
      <c r="F29" s="3"/>
      <c r="G29" s="3"/>
      <c r="H29" s="7"/>
      <c r="I29" s="9"/>
      <c r="J29" s="3"/>
      <c r="K29" s="3"/>
      <c r="L29" s="12"/>
      <c r="M29" s="8"/>
      <c r="N29" s="11"/>
      <c r="O29" s="12"/>
      <c r="P29" s="12"/>
      <c r="Q29" s="8"/>
      <c r="R29" s="11"/>
      <c r="S29" s="3"/>
    </row>
    <row r="30" spans="1:19">
      <c r="A30" s="3"/>
      <c r="B30" s="4"/>
      <c r="C30" s="3"/>
      <c r="D30" s="3"/>
      <c r="E30" s="3"/>
      <c r="F30" s="3"/>
      <c r="G30" s="3"/>
      <c r="H30" s="7"/>
      <c r="I30" s="9"/>
      <c r="J30" s="3"/>
      <c r="K30" s="3"/>
      <c r="L30" s="12"/>
      <c r="M30" s="8"/>
      <c r="N30" s="11"/>
      <c r="O30" s="12"/>
      <c r="P30" s="12"/>
      <c r="Q30" s="8"/>
      <c r="R30" s="11"/>
      <c r="S30" s="3"/>
    </row>
    <row r="31" spans="1:19">
      <c r="A31" s="3"/>
      <c r="B31" s="4"/>
      <c r="C31" s="3"/>
      <c r="D31" s="3"/>
      <c r="E31" s="3"/>
      <c r="F31" s="3"/>
      <c r="G31" s="3"/>
      <c r="H31" s="7"/>
      <c r="I31" s="9"/>
      <c r="J31" s="3"/>
      <c r="K31" s="3"/>
      <c r="L31" s="12"/>
      <c r="M31" s="8"/>
      <c r="N31" s="11"/>
      <c r="O31" s="12"/>
      <c r="P31" s="12"/>
      <c r="Q31" s="8"/>
      <c r="R31" s="11"/>
      <c r="S31" s="3"/>
    </row>
    <row r="32" spans="1:19">
      <c r="A32" s="3"/>
      <c r="B32" s="4"/>
      <c r="C32" s="3"/>
      <c r="D32" s="3"/>
      <c r="E32" s="3"/>
      <c r="F32" s="3"/>
      <c r="G32" s="3"/>
      <c r="H32" s="7"/>
      <c r="I32" s="9"/>
      <c r="J32" s="3"/>
      <c r="K32" s="3"/>
      <c r="L32" s="12"/>
      <c r="M32" s="8"/>
      <c r="N32" s="11"/>
      <c r="O32" s="12"/>
      <c r="P32" s="12"/>
      <c r="Q32" s="8"/>
      <c r="R32" s="11"/>
      <c r="S32" s="3"/>
    </row>
    <row r="33" spans="1:19">
      <c r="A33" s="3"/>
      <c r="B33" s="4"/>
      <c r="C33" s="3"/>
      <c r="D33" s="3"/>
      <c r="E33" s="3"/>
      <c r="F33" s="3"/>
      <c r="G33" s="3"/>
      <c r="H33" s="7"/>
      <c r="I33" s="9"/>
      <c r="J33" s="3"/>
      <c r="K33" s="3"/>
      <c r="L33" s="12"/>
      <c r="M33" s="8"/>
      <c r="N33" s="11"/>
      <c r="O33" s="12"/>
      <c r="P33" s="12"/>
      <c r="Q33" s="8"/>
      <c r="R33" s="11"/>
      <c r="S33" s="3"/>
    </row>
    <row r="34" spans="1:19">
      <c r="A34" s="3"/>
      <c r="B34" s="4"/>
      <c r="C34" s="3"/>
      <c r="D34" s="3"/>
      <c r="E34" s="3"/>
      <c r="F34" s="3"/>
      <c r="G34" s="3"/>
      <c r="H34" s="7"/>
      <c r="I34" s="9"/>
      <c r="J34" s="3"/>
      <c r="K34" s="3"/>
      <c r="L34" s="12"/>
      <c r="M34" s="8"/>
      <c r="N34" s="11"/>
      <c r="O34" s="12"/>
      <c r="P34" s="12"/>
      <c r="Q34" s="8"/>
      <c r="R34" s="11"/>
      <c r="S34" s="3"/>
    </row>
    <row r="35" spans="1:19">
      <c r="A35" s="3"/>
      <c r="B35" s="4"/>
      <c r="C35" s="3"/>
      <c r="D35" s="3"/>
      <c r="E35" s="3"/>
      <c r="F35" s="3"/>
      <c r="G35" s="3"/>
      <c r="H35" s="7"/>
      <c r="I35" s="9"/>
      <c r="J35" s="3"/>
      <c r="K35" s="3"/>
      <c r="L35" s="12"/>
      <c r="M35" s="8"/>
      <c r="N35" s="11"/>
      <c r="O35" s="12"/>
      <c r="P35" s="12"/>
      <c r="Q35" s="8"/>
      <c r="R35" s="11"/>
      <c r="S35" s="3"/>
    </row>
    <row r="36" spans="1:19">
      <c r="A36" s="3"/>
      <c r="B36" s="4"/>
      <c r="C36" s="3"/>
      <c r="D36" s="3"/>
      <c r="E36" s="3"/>
      <c r="F36" s="3"/>
      <c r="G36" s="3"/>
      <c r="H36" s="7"/>
      <c r="I36" s="9"/>
      <c r="J36" s="3"/>
      <c r="K36" s="3"/>
      <c r="L36" s="12"/>
      <c r="M36" s="8"/>
      <c r="N36" s="11"/>
      <c r="O36" s="12"/>
      <c r="P36" s="12"/>
      <c r="Q36" s="8"/>
      <c r="R36" s="11"/>
      <c r="S36" s="3"/>
    </row>
    <row r="37" spans="1:19">
      <c r="A37" s="3"/>
      <c r="B37" s="4"/>
      <c r="C37" s="3"/>
      <c r="D37" s="3"/>
      <c r="E37" s="3"/>
      <c r="F37" s="3"/>
      <c r="G37" s="3"/>
      <c r="H37" s="7"/>
      <c r="I37" s="9"/>
      <c r="J37" s="3"/>
      <c r="K37" s="3"/>
      <c r="L37" s="12"/>
      <c r="M37" s="8"/>
      <c r="N37" s="11"/>
      <c r="O37" s="12"/>
      <c r="P37" s="12"/>
      <c r="Q37" s="8"/>
      <c r="R37" s="11"/>
      <c r="S37" s="3"/>
    </row>
    <row r="38" spans="1:19">
      <c r="A38" s="3"/>
      <c r="B38" s="4"/>
      <c r="C38" s="3"/>
      <c r="D38" s="3"/>
      <c r="E38" s="3"/>
      <c r="F38" s="3"/>
      <c r="G38" s="3"/>
      <c r="H38" s="7"/>
      <c r="I38" s="9"/>
      <c r="J38" s="3"/>
      <c r="K38" s="3"/>
      <c r="L38" s="12"/>
      <c r="M38" s="8"/>
      <c r="N38" s="11"/>
      <c r="O38" s="12"/>
      <c r="P38" s="12"/>
      <c r="Q38" s="8"/>
      <c r="R38" s="11"/>
      <c r="S38" s="3"/>
    </row>
    <row r="39" spans="1:19">
      <c r="A39" s="3"/>
      <c r="B39" s="4"/>
      <c r="C39" s="3"/>
      <c r="D39" s="3"/>
      <c r="E39" s="3"/>
      <c r="F39" s="3"/>
      <c r="G39" s="3"/>
      <c r="H39" s="7"/>
      <c r="I39" s="9"/>
      <c r="J39" s="3"/>
      <c r="K39" s="3"/>
      <c r="L39" s="12"/>
      <c r="M39" s="8"/>
      <c r="N39" s="11"/>
      <c r="O39" s="12"/>
      <c r="P39" s="12"/>
      <c r="Q39" s="8"/>
      <c r="R39" s="11"/>
      <c r="S39" s="3"/>
    </row>
    <row r="40" spans="1:19">
      <c r="A40" s="3"/>
      <c r="B40" s="4"/>
      <c r="C40" s="3"/>
      <c r="D40" s="3"/>
      <c r="E40" s="3"/>
      <c r="F40" s="3"/>
      <c r="G40" s="3"/>
      <c r="H40" s="7"/>
      <c r="I40" s="9"/>
      <c r="J40" s="3"/>
      <c r="K40" s="3"/>
      <c r="L40" s="12"/>
      <c r="M40" s="8"/>
      <c r="N40" s="11"/>
      <c r="O40" s="12"/>
      <c r="P40" s="12"/>
      <c r="Q40" s="8"/>
      <c r="R40" s="11"/>
      <c r="S40" s="3"/>
    </row>
    <row r="41" spans="1:19">
      <c r="A41" s="3"/>
      <c r="B41" s="4"/>
      <c r="C41" s="3"/>
      <c r="D41" s="3"/>
      <c r="E41" s="3"/>
      <c r="F41" s="3"/>
      <c r="G41" s="3"/>
      <c r="H41" s="7"/>
      <c r="I41" s="9"/>
      <c r="J41" s="3"/>
      <c r="K41" s="3"/>
      <c r="L41" s="12"/>
      <c r="M41" s="8"/>
      <c r="N41" s="11"/>
      <c r="O41" s="12"/>
      <c r="P41" s="12"/>
      <c r="Q41" s="8"/>
      <c r="R41" s="11"/>
      <c r="S41" s="3"/>
    </row>
  </sheetData>
  <mergeCells count="10">
    <mergeCell ref="E5:E6"/>
    <mergeCell ref="A11:B11"/>
    <mergeCell ref="A1:E1"/>
    <mergeCell ref="H1:I1"/>
    <mergeCell ref="L1:N1"/>
    <mergeCell ref="P1:R1"/>
    <mergeCell ref="A2:E2"/>
    <mergeCell ref="H2:I2"/>
    <mergeCell ref="L2:N2"/>
    <mergeCell ref="P2:R2"/>
  </mergeCells>
  <conditionalFormatting sqref="A2:F3">
    <cfRule type="cellIs" dxfId="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9AB42-28BC-4873-A089-4F4BE56A82C0}">
  <dimension ref="A1:S41"/>
  <sheetViews>
    <sheetView showGridLines="0" zoomScaleNormal="100" workbookViewId="0">
      <selection activeCell="F6" sqref="F6"/>
    </sheetView>
  </sheetViews>
  <sheetFormatPr defaultColWidth="13.28515625" defaultRowHeight="15"/>
  <cols>
    <col min="1" max="1" width="15.28515625" style="1" bestFit="1" customWidth="1"/>
    <col min="2" max="2" width="13.85546875" style="1" customWidth="1"/>
    <col min="3" max="3" width="15" style="1" bestFit="1" customWidth="1"/>
    <col min="4" max="4" width="14.140625" style="1" customWidth="1"/>
    <col min="5" max="5" width="17.5703125" style="1" bestFit="1" customWidth="1"/>
    <col min="6" max="6" width="17.5703125" style="1" customWidth="1"/>
    <col min="7" max="7" width="13.28515625" style="1" customWidth="1"/>
    <col min="8" max="8" width="21.42578125" style="1" bestFit="1" customWidth="1"/>
    <col min="9" max="9" width="12" style="1" bestFit="1" customWidth="1"/>
    <col min="10" max="12" width="9.140625" style="1"/>
    <col min="13" max="13" width="12.85546875" style="1" bestFit="1" customWidth="1"/>
    <col min="14" max="14" width="23.28515625" style="1" bestFit="1" customWidth="1"/>
    <col min="15" max="16384" width="13.28515625" style="1"/>
  </cols>
  <sheetData>
    <row r="1" spans="1:19" ht="33" customHeight="1">
      <c r="A1" s="103" t="s">
        <v>0</v>
      </c>
      <c r="B1" s="103"/>
      <c r="C1" s="103"/>
      <c r="D1" s="103"/>
      <c r="E1" s="103"/>
      <c r="F1" s="81"/>
      <c r="G1" s="6"/>
      <c r="H1" s="103" t="s">
        <v>1</v>
      </c>
      <c r="I1" s="103"/>
      <c r="J1" s="6"/>
      <c r="K1" s="6"/>
      <c r="L1" s="103" t="s">
        <v>2</v>
      </c>
      <c r="M1" s="103"/>
      <c r="N1" s="103"/>
      <c r="O1" s="6"/>
      <c r="P1" s="103" t="s">
        <v>3</v>
      </c>
      <c r="Q1" s="103"/>
      <c r="R1" s="103"/>
      <c r="S1" s="6"/>
    </row>
    <row r="2" spans="1:19" ht="18">
      <c r="A2" s="105">
        <f>E7+P2</f>
        <v>1766.5</v>
      </c>
      <c r="B2" s="105"/>
      <c r="C2" s="105"/>
      <c r="D2" s="105"/>
      <c r="E2" s="105"/>
      <c r="F2" s="83"/>
      <c r="G2" s="5"/>
      <c r="H2" s="107">
        <f>SUM(I4:I11)*-1</f>
        <v>-3467.7100000000005</v>
      </c>
      <c r="I2" s="107"/>
      <c r="J2" s="5"/>
      <c r="K2" s="5"/>
      <c r="L2" s="108">
        <f>SUM(M5:M12)*-1</f>
        <v>-1410.79</v>
      </c>
      <c r="M2" s="108"/>
      <c r="N2" s="108"/>
      <c r="O2" s="21"/>
      <c r="P2" s="104">
        <f>SUM(H2:N2)</f>
        <v>-4878.5</v>
      </c>
      <c r="Q2" s="104"/>
      <c r="R2" s="104"/>
      <c r="S2" s="5"/>
    </row>
    <row r="3" spans="1:19" ht="16.5" customHeight="1">
      <c r="A3" s="83"/>
      <c r="B3" s="83"/>
      <c r="C3" s="83"/>
      <c r="D3" s="83"/>
      <c r="E3" s="83"/>
      <c r="F3" s="83"/>
      <c r="G3" s="5"/>
      <c r="H3" s="84"/>
      <c r="I3" s="84"/>
      <c r="J3" s="2" t="s">
        <v>4</v>
      </c>
      <c r="K3" s="5"/>
      <c r="L3" s="85"/>
      <c r="M3" s="85"/>
      <c r="N3" s="85"/>
      <c r="O3" s="82"/>
      <c r="P3" s="82"/>
      <c r="Q3" s="82"/>
      <c r="R3" s="82"/>
      <c r="S3" s="5"/>
    </row>
    <row r="4" spans="1:19">
      <c r="A4" s="2"/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/>
      <c r="H4" s="7" t="s">
        <v>10</v>
      </c>
      <c r="I4" s="9">
        <v>1460</v>
      </c>
      <c r="J4" s="3" t="s">
        <v>11</v>
      </c>
      <c r="K4" s="2"/>
      <c r="L4" s="2" t="s">
        <v>12</v>
      </c>
      <c r="M4" s="2" t="s">
        <v>13</v>
      </c>
      <c r="N4" s="2" t="s">
        <v>14</v>
      </c>
      <c r="O4" s="2" t="s">
        <v>4</v>
      </c>
      <c r="P4" s="2"/>
      <c r="Q4" s="13" t="s">
        <v>15</v>
      </c>
      <c r="R4" s="22" t="s">
        <v>16</v>
      </c>
      <c r="S4" s="2"/>
    </row>
    <row r="5" spans="1:19">
      <c r="A5" s="14" t="s">
        <v>17</v>
      </c>
      <c r="B5" s="20">
        <v>3500</v>
      </c>
      <c r="C5" s="20">
        <f>B5-D5</f>
        <v>655</v>
      </c>
      <c r="D5" s="20">
        <v>2845</v>
      </c>
      <c r="E5" s="106">
        <v>37</v>
      </c>
      <c r="F5" s="16">
        <f>IF(A2&gt;0,A2/2,"R$ 0,00")</f>
        <v>883.25</v>
      </c>
      <c r="G5" s="3"/>
      <c r="H5" s="7" t="s">
        <v>18</v>
      </c>
      <c r="I5" s="9">
        <v>129.9</v>
      </c>
      <c r="J5" s="3" t="s">
        <v>11</v>
      </c>
      <c r="K5" s="3"/>
      <c r="L5" s="2">
        <v>10</v>
      </c>
      <c r="M5" s="8">
        <f>113.89+300</f>
        <v>413.89</v>
      </c>
      <c r="N5" s="11" t="s">
        <v>54</v>
      </c>
      <c r="O5" s="3" t="s">
        <v>11</v>
      </c>
      <c r="P5" s="12"/>
      <c r="Q5" s="23">
        <f>SUMIF(J:J,"ok",I:I)+SUMIF(O:O,"ok",M:M)</f>
        <v>4940.5</v>
      </c>
      <c r="R5" s="17">
        <f>P2+Q5</f>
        <v>62</v>
      </c>
      <c r="S5" s="3"/>
    </row>
    <row r="6" spans="1:19">
      <c r="A6" s="14" t="s">
        <v>20</v>
      </c>
      <c r="B6" s="20">
        <v>5369.15</v>
      </c>
      <c r="C6" s="20">
        <f>B6-D6</f>
        <v>1606.1499999999996</v>
      </c>
      <c r="D6" s="20">
        <v>3763</v>
      </c>
      <c r="E6" s="106"/>
      <c r="F6" s="16">
        <f>F5</f>
        <v>883.25</v>
      </c>
      <c r="G6" s="3"/>
      <c r="H6" s="7" t="s">
        <v>21</v>
      </c>
      <c r="I6" s="9">
        <v>101.24</v>
      </c>
      <c r="J6" s="3" t="s">
        <v>11</v>
      </c>
      <c r="K6" s="3"/>
      <c r="L6" s="2">
        <v>1</v>
      </c>
      <c r="M6" s="8">
        <v>996.9</v>
      </c>
      <c r="N6" s="11" t="s">
        <v>49</v>
      </c>
      <c r="O6" s="3" t="s">
        <v>11</v>
      </c>
      <c r="P6" s="12"/>
      <c r="Q6" s="8"/>
      <c r="R6" s="11"/>
      <c r="S6" s="3"/>
    </row>
    <row r="7" spans="1:19">
      <c r="A7" s="14" t="s">
        <v>3</v>
      </c>
      <c r="B7" s="18"/>
      <c r="C7" s="18"/>
      <c r="D7" s="19"/>
      <c r="E7" s="20">
        <f>D5+D6+E5</f>
        <v>6645</v>
      </c>
      <c r="F7" s="15"/>
      <c r="G7" s="3"/>
      <c r="H7" s="7" t="s">
        <v>41</v>
      </c>
      <c r="I7" s="9">
        <v>700</v>
      </c>
      <c r="J7" s="3" t="s">
        <v>11</v>
      </c>
      <c r="K7" s="3"/>
      <c r="L7" s="2"/>
      <c r="M7" s="8"/>
      <c r="N7" s="11"/>
      <c r="O7" s="3"/>
      <c r="P7" s="12"/>
      <c r="Q7" s="8"/>
      <c r="R7" s="11"/>
      <c r="S7" s="3"/>
    </row>
    <row r="8" spans="1:19">
      <c r="A8" s="14"/>
      <c r="B8" s="18"/>
      <c r="C8" s="18"/>
      <c r="D8" s="18"/>
      <c r="E8" s="20"/>
      <c r="F8" s="4"/>
      <c r="G8" s="3"/>
      <c r="H8" s="7" t="s">
        <v>46</v>
      </c>
      <c r="I8" s="9">
        <v>66.36</v>
      </c>
      <c r="J8" s="3" t="s">
        <v>11</v>
      </c>
      <c r="K8" s="3"/>
      <c r="L8" s="2"/>
      <c r="M8" s="8"/>
      <c r="N8" s="11"/>
      <c r="O8" s="12"/>
      <c r="P8" s="12"/>
      <c r="Q8" s="8"/>
      <c r="R8" s="11"/>
      <c r="S8" s="3"/>
    </row>
    <row r="9" spans="1:19">
      <c r="A9" s="4"/>
      <c r="B9" s="18"/>
      <c r="C9" s="18"/>
      <c r="D9" s="18"/>
      <c r="E9" s="18"/>
      <c r="F9" s="4"/>
      <c r="G9" s="3"/>
      <c r="H9" s="7" t="s">
        <v>44</v>
      </c>
      <c r="I9" s="9">
        <v>541.64</v>
      </c>
      <c r="J9" s="3" t="s">
        <v>11</v>
      </c>
      <c r="K9" s="3"/>
      <c r="L9" s="2"/>
      <c r="M9" s="8"/>
      <c r="N9" s="11"/>
      <c r="O9" s="12"/>
      <c r="P9" s="12"/>
      <c r="Q9" s="8"/>
      <c r="R9" s="11"/>
      <c r="S9" s="3"/>
    </row>
    <row r="10" spans="1:19">
      <c r="A10" s="4"/>
      <c r="B10" s="4"/>
      <c r="C10" s="4"/>
      <c r="D10" s="4"/>
      <c r="E10" s="4"/>
      <c r="F10" s="4"/>
      <c r="G10" s="3"/>
      <c r="H10" s="7" t="s">
        <v>33</v>
      </c>
      <c r="I10" s="9">
        <v>68.569999999999993</v>
      </c>
      <c r="J10" s="3" t="s">
        <v>11</v>
      </c>
      <c r="K10" s="3"/>
      <c r="L10" s="2"/>
      <c r="M10" s="8"/>
      <c r="N10" s="11"/>
      <c r="O10" s="12"/>
      <c r="P10" s="12"/>
      <c r="Q10" s="8"/>
      <c r="R10" s="11"/>
      <c r="S10" s="3"/>
    </row>
    <row r="11" spans="1:19">
      <c r="A11" s="110"/>
      <c r="B11" s="110"/>
      <c r="C11" s="4"/>
      <c r="D11" s="4"/>
      <c r="E11" s="4"/>
      <c r="F11" s="4"/>
      <c r="G11" s="3"/>
      <c r="H11" s="7" t="s">
        <v>38</v>
      </c>
      <c r="I11" s="9">
        <v>400</v>
      </c>
      <c r="J11" s="3" t="s">
        <v>11</v>
      </c>
      <c r="K11" s="3"/>
      <c r="L11" s="2"/>
      <c r="M11" s="8"/>
      <c r="N11" s="11"/>
      <c r="O11" s="12"/>
      <c r="P11" s="12"/>
      <c r="Q11" s="8"/>
      <c r="R11" s="11"/>
      <c r="S11" s="3"/>
    </row>
    <row r="12" spans="1:19">
      <c r="A12" s="4"/>
      <c r="B12" s="4"/>
      <c r="C12" s="4"/>
      <c r="D12" s="4"/>
      <c r="E12" s="4"/>
      <c r="F12" s="4"/>
      <c r="G12" s="3"/>
      <c r="H12" s="7" t="s">
        <v>47</v>
      </c>
      <c r="I12" s="9">
        <v>62</v>
      </c>
      <c r="J12" s="3" t="s">
        <v>11</v>
      </c>
      <c r="K12" s="3"/>
      <c r="L12" s="2"/>
      <c r="M12" s="8"/>
      <c r="N12" s="11"/>
      <c r="O12" s="12"/>
      <c r="P12" s="12"/>
      <c r="Q12" s="8"/>
      <c r="R12" s="11"/>
      <c r="S12" s="3"/>
    </row>
    <row r="13" spans="1:19">
      <c r="A13" s="4"/>
      <c r="B13" s="4"/>
      <c r="C13" s="25"/>
      <c r="D13" s="4"/>
      <c r="E13" s="4"/>
      <c r="F13" s="4"/>
      <c r="G13" s="3"/>
      <c r="H13" s="7"/>
      <c r="I13" s="9"/>
      <c r="J13" s="3"/>
      <c r="K13" s="3"/>
      <c r="L13" s="12"/>
      <c r="M13" s="8"/>
      <c r="N13" s="11"/>
      <c r="O13" s="12"/>
      <c r="P13" s="12"/>
      <c r="Q13" s="8"/>
      <c r="R13" s="11"/>
      <c r="S13" s="3"/>
    </row>
    <row r="14" spans="1:19">
      <c r="A14" s="4"/>
      <c r="B14" s="4"/>
      <c r="C14" s="25"/>
      <c r="D14" s="4"/>
      <c r="E14" s="18"/>
      <c r="F14" s="4"/>
      <c r="G14" s="3"/>
      <c r="H14" s="7"/>
      <c r="I14" s="9"/>
      <c r="J14" s="3"/>
      <c r="K14" s="3"/>
      <c r="L14" s="2" t="s">
        <v>3</v>
      </c>
      <c r="M14" s="17">
        <f>((M5*L5)+(M6*L6)+(M7*L7)+(M8*L8)+(M9*L9)+(M10*L10)+(M11+L11)+(M12+L12))*-1</f>
        <v>-5135.7999999999993</v>
      </c>
      <c r="N14" s="11"/>
      <c r="O14" s="12"/>
      <c r="P14" s="12"/>
      <c r="Q14" s="8"/>
      <c r="R14" s="11"/>
      <c r="S14" s="3"/>
    </row>
    <row r="15" spans="1:19">
      <c r="A15" s="4"/>
      <c r="B15" s="4"/>
      <c r="C15" s="25"/>
      <c r="D15" s="4"/>
      <c r="E15" s="18"/>
      <c r="F15" s="4"/>
      <c r="G15" s="3"/>
      <c r="H15" s="7"/>
      <c r="I15" s="9"/>
      <c r="J15" s="3"/>
      <c r="K15" s="3"/>
      <c r="L15" s="12"/>
      <c r="M15" s="8"/>
      <c r="N15" s="11"/>
      <c r="O15" s="12"/>
      <c r="P15" s="12"/>
      <c r="Q15" s="8"/>
      <c r="R15" s="11"/>
      <c r="S15" s="3"/>
    </row>
    <row r="16" spans="1:19">
      <c r="A16" s="4"/>
      <c r="B16" s="4"/>
      <c r="C16" s="25"/>
      <c r="D16" s="4"/>
      <c r="E16" s="18"/>
      <c r="F16" s="4"/>
      <c r="G16" s="3"/>
      <c r="H16" s="7"/>
      <c r="I16" s="9"/>
      <c r="J16" s="3"/>
      <c r="K16" s="3"/>
      <c r="L16" s="12"/>
      <c r="M16" s="8"/>
      <c r="N16" s="11"/>
      <c r="O16" s="12"/>
      <c r="P16" s="12"/>
      <c r="Q16" s="8"/>
      <c r="R16" s="11"/>
      <c r="S16" s="3"/>
    </row>
    <row r="17" spans="1:19">
      <c r="A17" s="4"/>
      <c r="B17" s="4"/>
      <c r="C17" s="25"/>
      <c r="D17" s="4"/>
      <c r="E17" s="18"/>
      <c r="F17" s="4"/>
      <c r="G17" s="3"/>
      <c r="H17" s="7"/>
      <c r="I17" s="9"/>
      <c r="J17" s="3"/>
      <c r="K17" s="3"/>
      <c r="L17" s="12"/>
      <c r="M17" s="8"/>
      <c r="N17" s="11"/>
      <c r="O17" s="12"/>
      <c r="P17" s="12"/>
      <c r="Q17" s="8"/>
      <c r="R17" s="11"/>
      <c r="S17" s="3"/>
    </row>
    <row r="18" spans="1:19">
      <c r="A18" s="4"/>
      <c r="B18" s="4"/>
      <c r="C18" s="25"/>
      <c r="D18" s="4"/>
      <c r="E18" s="18"/>
      <c r="F18" s="4"/>
      <c r="G18" s="3"/>
      <c r="H18" s="7"/>
      <c r="I18" s="9"/>
      <c r="J18" s="3"/>
      <c r="K18" s="3"/>
      <c r="L18" s="12"/>
      <c r="M18" s="8"/>
      <c r="N18" s="11"/>
      <c r="O18" s="12"/>
      <c r="P18" s="12"/>
      <c r="Q18" s="8"/>
      <c r="R18" s="11"/>
      <c r="S18" s="3"/>
    </row>
    <row r="19" spans="1:19">
      <c r="A19" s="4"/>
      <c r="B19" s="4"/>
      <c r="C19" s="25"/>
      <c r="D19" s="4"/>
      <c r="E19" s="18"/>
      <c r="F19" s="4"/>
      <c r="G19" s="3"/>
      <c r="H19" s="7"/>
      <c r="I19" s="9"/>
      <c r="J19" s="3"/>
      <c r="K19" s="3"/>
      <c r="L19" s="12"/>
      <c r="M19" s="8"/>
      <c r="N19" s="11"/>
      <c r="O19" s="12"/>
      <c r="P19" s="12"/>
      <c r="Q19" s="8"/>
      <c r="R19" s="11"/>
      <c r="S19" s="3"/>
    </row>
    <row r="20" spans="1:19">
      <c r="A20" s="4"/>
      <c r="B20" s="4"/>
      <c r="C20" s="25"/>
      <c r="D20" s="4"/>
      <c r="E20" s="18"/>
      <c r="F20" s="4"/>
      <c r="G20" s="3"/>
      <c r="H20" s="7"/>
      <c r="I20" s="9"/>
      <c r="J20" s="3"/>
      <c r="K20" s="3"/>
      <c r="L20" s="12"/>
      <c r="M20" s="8"/>
      <c r="N20" s="11"/>
      <c r="O20" s="12"/>
      <c r="P20" s="12"/>
      <c r="Q20" s="8"/>
      <c r="R20" s="11"/>
      <c r="S20" s="3"/>
    </row>
    <row r="21" spans="1:19">
      <c r="A21" s="4"/>
      <c r="B21" s="4"/>
      <c r="C21" s="25"/>
      <c r="D21" s="4"/>
      <c r="E21" s="18"/>
      <c r="F21" s="4"/>
      <c r="G21" s="3"/>
      <c r="H21" s="7"/>
      <c r="I21" s="9"/>
      <c r="J21" s="3"/>
      <c r="K21" s="3"/>
      <c r="L21" s="12"/>
      <c r="M21" s="8"/>
      <c r="N21" s="11"/>
      <c r="O21" s="12"/>
      <c r="P21" s="12"/>
      <c r="Q21" s="8"/>
      <c r="R21" s="11"/>
      <c r="S21" s="3"/>
    </row>
    <row r="22" spans="1:19">
      <c r="A22" s="4"/>
      <c r="B22" s="4"/>
      <c r="C22" s="4"/>
      <c r="D22" s="4"/>
      <c r="E22" s="4"/>
      <c r="F22" s="4"/>
      <c r="G22" s="3"/>
      <c r="H22" s="7"/>
      <c r="I22" s="9"/>
      <c r="J22" s="3"/>
      <c r="K22" s="3"/>
      <c r="L22" s="12"/>
      <c r="M22" s="8"/>
      <c r="N22" s="11"/>
      <c r="O22" s="12"/>
      <c r="P22" s="12"/>
      <c r="Q22" s="8"/>
      <c r="R22" s="11"/>
      <c r="S22" s="3"/>
    </row>
    <row r="23" spans="1:19">
      <c r="A23" s="4"/>
      <c r="B23" s="4"/>
      <c r="C23" s="4"/>
      <c r="D23" s="4"/>
      <c r="E23" s="4"/>
      <c r="F23" s="4"/>
      <c r="G23" s="3"/>
      <c r="H23" s="7"/>
      <c r="I23" s="9"/>
      <c r="J23" s="3"/>
      <c r="K23" s="3"/>
      <c r="L23" s="12"/>
      <c r="M23" s="8"/>
      <c r="N23" s="11"/>
      <c r="O23" s="12"/>
      <c r="P23" s="12"/>
      <c r="Q23" s="8"/>
      <c r="R23" s="11"/>
      <c r="S23" s="3"/>
    </row>
    <row r="24" spans="1:19">
      <c r="A24" s="4"/>
      <c r="B24" s="4"/>
      <c r="C24" s="4"/>
      <c r="D24" s="4"/>
      <c r="E24" s="4"/>
      <c r="F24" s="4"/>
      <c r="G24" s="3"/>
      <c r="H24" s="7"/>
      <c r="I24" s="9"/>
      <c r="J24" s="3"/>
      <c r="K24" s="3"/>
      <c r="L24" s="12"/>
      <c r="M24" s="8"/>
      <c r="N24" s="11"/>
      <c r="O24" s="24"/>
      <c r="P24" s="12"/>
      <c r="Q24" s="8"/>
      <c r="R24" s="11"/>
      <c r="S24" s="3"/>
    </row>
    <row r="25" spans="1:19">
      <c r="A25" s="4"/>
      <c r="B25" s="4"/>
      <c r="C25" s="4"/>
      <c r="D25" s="4"/>
      <c r="E25" s="4"/>
      <c r="F25" s="4"/>
      <c r="G25" s="3"/>
      <c r="H25" s="7"/>
      <c r="I25" s="9"/>
      <c r="J25" s="3"/>
      <c r="K25" s="3"/>
      <c r="L25" s="12"/>
      <c r="M25" s="8"/>
      <c r="N25" s="11"/>
      <c r="O25" s="12"/>
      <c r="P25" s="12"/>
      <c r="Q25" s="8"/>
      <c r="R25" s="11"/>
      <c r="S25" s="3"/>
    </row>
    <row r="26" spans="1:19">
      <c r="A26" s="4"/>
      <c r="B26" s="4"/>
      <c r="C26" s="4"/>
      <c r="D26" s="4"/>
      <c r="E26" s="4"/>
      <c r="F26" s="4"/>
      <c r="G26" s="3"/>
      <c r="H26" s="7"/>
      <c r="I26" s="9"/>
      <c r="J26" s="3"/>
      <c r="K26" s="3"/>
      <c r="L26" s="12"/>
      <c r="M26" s="8"/>
      <c r="N26" s="11"/>
      <c r="O26" s="24"/>
      <c r="P26" s="12"/>
      <c r="Q26" s="8"/>
      <c r="R26" s="11"/>
      <c r="S26" s="3"/>
    </row>
    <row r="27" spans="1:19">
      <c r="A27" s="4"/>
      <c r="B27" s="4"/>
      <c r="C27" s="4"/>
      <c r="D27" s="4"/>
      <c r="E27" s="4"/>
      <c r="F27" s="4"/>
      <c r="G27" s="3"/>
      <c r="H27" s="7"/>
      <c r="I27" s="9"/>
      <c r="J27" s="3"/>
      <c r="K27" s="3"/>
      <c r="L27" s="12"/>
      <c r="M27" s="8"/>
      <c r="N27" s="11"/>
      <c r="O27" s="12"/>
      <c r="P27" s="12"/>
      <c r="Q27" s="8"/>
      <c r="R27" s="11"/>
      <c r="S27" s="3"/>
    </row>
    <row r="28" spans="1:19">
      <c r="A28" s="4"/>
      <c r="B28" s="4"/>
      <c r="C28" s="4"/>
      <c r="D28" s="4"/>
      <c r="E28" s="4"/>
      <c r="F28" s="4"/>
      <c r="G28" s="3"/>
      <c r="H28" s="7"/>
      <c r="I28" s="9"/>
      <c r="J28" s="3"/>
      <c r="K28" s="3"/>
      <c r="L28" s="12"/>
      <c r="M28" s="8"/>
      <c r="N28" s="11"/>
      <c r="O28" s="12"/>
      <c r="P28" s="12"/>
      <c r="Q28" s="8"/>
      <c r="R28" s="11"/>
      <c r="S28" s="3"/>
    </row>
    <row r="29" spans="1:19">
      <c r="A29" s="3"/>
      <c r="B29" s="4"/>
      <c r="C29" s="3"/>
      <c r="D29" s="3"/>
      <c r="E29" s="3"/>
      <c r="F29" s="3"/>
      <c r="G29" s="3"/>
      <c r="H29" s="7"/>
      <c r="I29" s="9"/>
      <c r="J29" s="3"/>
      <c r="K29" s="3"/>
      <c r="L29" s="12"/>
      <c r="M29" s="8"/>
      <c r="N29" s="11"/>
      <c r="O29" s="12"/>
      <c r="P29" s="12"/>
      <c r="Q29" s="8"/>
      <c r="R29" s="11"/>
      <c r="S29" s="3"/>
    </row>
    <row r="30" spans="1:19">
      <c r="A30" s="3"/>
      <c r="B30" s="4"/>
      <c r="C30" s="3"/>
      <c r="D30" s="3"/>
      <c r="E30" s="3"/>
      <c r="F30" s="3"/>
      <c r="G30" s="3"/>
      <c r="H30" s="7"/>
      <c r="I30" s="9"/>
      <c r="J30" s="3"/>
      <c r="K30" s="3"/>
      <c r="L30" s="12"/>
      <c r="M30" s="8"/>
      <c r="N30" s="11"/>
      <c r="O30" s="12"/>
      <c r="P30" s="12"/>
      <c r="Q30" s="8"/>
      <c r="R30" s="11"/>
      <c r="S30" s="3"/>
    </row>
    <row r="31" spans="1:19">
      <c r="A31" s="3"/>
      <c r="B31" s="4"/>
      <c r="C31" s="3"/>
      <c r="D31" s="3"/>
      <c r="E31" s="3"/>
      <c r="F31" s="3"/>
      <c r="G31" s="3"/>
      <c r="H31" s="7"/>
      <c r="I31" s="9"/>
      <c r="J31" s="3"/>
      <c r="K31" s="3"/>
      <c r="L31" s="12"/>
      <c r="M31" s="8"/>
      <c r="N31" s="11"/>
      <c r="O31" s="12"/>
      <c r="P31" s="12"/>
      <c r="Q31" s="8"/>
      <c r="R31" s="11"/>
      <c r="S31" s="3"/>
    </row>
    <row r="32" spans="1:19">
      <c r="A32" s="3"/>
      <c r="B32" s="4"/>
      <c r="C32" s="3"/>
      <c r="D32" s="3"/>
      <c r="E32" s="3"/>
      <c r="F32" s="3"/>
      <c r="G32" s="3"/>
      <c r="H32" s="7"/>
      <c r="I32" s="9"/>
      <c r="J32" s="3"/>
      <c r="K32" s="3"/>
      <c r="L32" s="12"/>
      <c r="M32" s="8"/>
      <c r="N32" s="11"/>
      <c r="O32" s="12"/>
      <c r="P32" s="12"/>
      <c r="Q32" s="8"/>
      <c r="R32" s="11"/>
      <c r="S32" s="3"/>
    </row>
    <row r="33" spans="1:19">
      <c r="A33" s="3"/>
      <c r="B33" s="4"/>
      <c r="C33" s="3"/>
      <c r="D33" s="3"/>
      <c r="E33" s="3"/>
      <c r="F33" s="3"/>
      <c r="G33" s="3"/>
      <c r="H33" s="7"/>
      <c r="I33" s="9"/>
      <c r="J33" s="3"/>
      <c r="K33" s="3"/>
      <c r="L33" s="12"/>
      <c r="M33" s="8"/>
      <c r="N33" s="11"/>
      <c r="O33" s="12"/>
      <c r="P33" s="12"/>
      <c r="Q33" s="8"/>
      <c r="R33" s="11"/>
      <c r="S33" s="3"/>
    </row>
    <row r="34" spans="1:19">
      <c r="A34" s="3"/>
      <c r="B34" s="4"/>
      <c r="C34" s="3"/>
      <c r="D34" s="3"/>
      <c r="E34" s="3"/>
      <c r="F34" s="3"/>
      <c r="G34" s="3"/>
      <c r="H34" s="7"/>
      <c r="I34" s="9"/>
      <c r="J34" s="3"/>
      <c r="K34" s="3"/>
      <c r="L34" s="12"/>
      <c r="M34" s="8"/>
      <c r="N34" s="11"/>
      <c r="O34" s="12"/>
      <c r="P34" s="12"/>
      <c r="Q34" s="8"/>
      <c r="R34" s="11"/>
      <c r="S34" s="3"/>
    </row>
    <row r="35" spans="1:19">
      <c r="A35" s="3"/>
      <c r="B35" s="4"/>
      <c r="C35" s="3"/>
      <c r="D35" s="3"/>
      <c r="E35" s="3"/>
      <c r="F35" s="3"/>
      <c r="G35" s="3"/>
      <c r="H35" s="7"/>
      <c r="I35" s="9"/>
      <c r="J35" s="3"/>
      <c r="K35" s="3"/>
      <c r="L35" s="12"/>
      <c r="M35" s="8"/>
      <c r="N35" s="11"/>
      <c r="O35" s="12"/>
      <c r="P35" s="12"/>
      <c r="Q35" s="8"/>
      <c r="R35" s="11"/>
      <c r="S35" s="3"/>
    </row>
    <row r="36" spans="1:19">
      <c r="A36" s="3"/>
      <c r="B36" s="4"/>
      <c r="C36" s="3"/>
      <c r="D36" s="3"/>
      <c r="E36" s="3"/>
      <c r="F36" s="3"/>
      <c r="G36" s="3"/>
      <c r="H36" s="7"/>
      <c r="I36" s="9"/>
      <c r="J36" s="3"/>
      <c r="K36" s="3"/>
      <c r="L36" s="12"/>
      <c r="M36" s="8"/>
      <c r="N36" s="11"/>
      <c r="O36" s="12"/>
      <c r="P36" s="12"/>
      <c r="Q36" s="8"/>
      <c r="R36" s="11"/>
      <c r="S36" s="3"/>
    </row>
    <row r="37" spans="1:19">
      <c r="A37" s="3"/>
      <c r="B37" s="4"/>
      <c r="C37" s="3"/>
      <c r="D37" s="3"/>
      <c r="E37" s="3"/>
      <c r="F37" s="3"/>
      <c r="G37" s="3"/>
      <c r="H37" s="7"/>
      <c r="I37" s="9"/>
      <c r="J37" s="3"/>
      <c r="K37" s="3"/>
      <c r="L37" s="12"/>
      <c r="M37" s="8"/>
      <c r="N37" s="11"/>
      <c r="O37" s="12"/>
      <c r="P37" s="12"/>
      <c r="Q37" s="8"/>
      <c r="R37" s="11"/>
      <c r="S37" s="3"/>
    </row>
    <row r="38" spans="1:19">
      <c r="A38" s="3"/>
      <c r="B38" s="4"/>
      <c r="C38" s="3"/>
      <c r="D38" s="3"/>
      <c r="E38" s="3"/>
      <c r="F38" s="3"/>
      <c r="G38" s="3"/>
      <c r="H38" s="7"/>
      <c r="I38" s="9"/>
      <c r="J38" s="3"/>
      <c r="K38" s="3"/>
      <c r="L38" s="12"/>
      <c r="M38" s="8"/>
      <c r="N38" s="11"/>
      <c r="O38" s="12"/>
      <c r="P38" s="12"/>
      <c r="Q38" s="8"/>
      <c r="R38" s="11"/>
      <c r="S38" s="3"/>
    </row>
    <row r="39" spans="1:19">
      <c r="A39" s="3"/>
      <c r="B39" s="4"/>
      <c r="C39" s="3"/>
      <c r="D39" s="3"/>
      <c r="E39" s="3"/>
      <c r="F39" s="3"/>
      <c r="G39" s="3"/>
      <c r="H39" s="7"/>
      <c r="I39" s="9"/>
      <c r="J39" s="3"/>
      <c r="K39" s="3"/>
      <c r="L39" s="12"/>
      <c r="M39" s="8"/>
      <c r="N39" s="11"/>
      <c r="O39" s="12"/>
      <c r="P39" s="12"/>
      <c r="Q39" s="8"/>
      <c r="R39" s="11"/>
      <c r="S39" s="3"/>
    </row>
    <row r="40" spans="1:19">
      <c r="A40" s="3"/>
      <c r="B40" s="4"/>
      <c r="C40" s="3"/>
      <c r="D40" s="3"/>
      <c r="E40" s="3"/>
      <c r="F40" s="3"/>
      <c r="G40" s="3"/>
      <c r="H40" s="7"/>
      <c r="I40" s="9"/>
      <c r="J40" s="3"/>
      <c r="K40" s="3"/>
      <c r="L40" s="12"/>
      <c r="M40" s="8"/>
      <c r="N40" s="11"/>
      <c r="O40" s="12"/>
      <c r="P40" s="12"/>
      <c r="Q40" s="8"/>
      <c r="R40" s="11"/>
      <c r="S40" s="3"/>
    </row>
    <row r="41" spans="1:19">
      <c r="A41" s="3"/>
      <c r="B41" s="4"/>
      <c r="C41" s="3"/>
      <c r="D41" s="3"/>
      <c r="E41" s="3"/>
      <c r="F41" s="3"/>
      <c r="G41" s="3"/>
      <c r="H41" s="7"/>
      <c r="I41" s="9"/>
      <c r="J41" s="3"/>
      <c r="K41" s="3"/>
      <c r="L41" s="12"/>
      <c r="M41" s="8"/>
      <c r="N41" s="11"/>
      <c r="O41" s="12"/>
      <c r="P41" s="12"/>
      <c r="Q41" s="8"/>
      <c r="R41" s="11"/>
      <c r="S41" s="3"/>
    </row>
  </sheetData>
  <mergeCells count="10">
    <mergeCell ref="P1:R1"/>
    <mergeCell ref="A2:E2"/>
    <mergeCell ref="H2:I2"/>
    <mergeCell ref="L2:N2"/>
    <mergeCell ref="P2:R2"/>
    <mergeCell ref="E5:E6"/>
    <mergeCell ref="A11:B11"/>
    <mergeCell ref="A1:E1"/>
    <mergeCell ref="H1:I1"/>
    <mergeCell ref="L1:N1"/>
  </mergeCells>
  <conditionalFormatting sqref="A2:F3">
    <cfRule type="cellIs" dxfId="6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EAC50-825B-4622-9141-98A3772545A3}">
  <dimension ref="A1:S41"/>
  <sheetViews>
    <sheetView showGridLines="0" zoomScaleNormal="100" workbookViewId="0">
      <selection activeCell="F16" sqref="A16:F30"/>
    </sheetView>
  </sheetViews>
  <sheetFormatPr defaultColWidth="13.28515625" defaultRowHeight="15"/>
  <cols>
    <col min="1" max="1" width="15.28515625" style="38" bestFit="1" customWidth="1"/>
    <col min="2" max="2" width="13.85546875" style="38" customWidth="1"/>
    <col min="3" max="3" width="15" style="38" bestFit="1" customWidth="1"/>
    <col min="4" max="4" width="15.85546875" style="38" customWidth="1"/>
    <col min="5" max="5" width="17.5703125" style="38" bestFit="1" customWidth="1"/>
    <col min="6" max="6" width="17.5703125" style="38" customWidth="1"/>
    <col min="7" max="7" width="13.28515625" style="38" customWidth="1"/>
    <col min="8" max="8" width="21.42578125" style="38" bestFit="1" customWidth="1"/>
    <col min="9" max="9" width="12" style="38" bestFit="1" customWidth="1"/>
    <col min="10" max="12" width="9.140625" style="38" bestFit="1" customWidth="1"/>
    <col min="13" max="13" width="12.85546875" style="38" bestFit="1" customWidth="1"/>
    <col min="14" max="14" width="23.28515625" style="38" bestFit="1" customWidth="1"/>
    <col min="15" max="16384" width="13.28515625" style="38"/>
  </cols>
  <sheetData>
    <row r="1" spans="1:19" ht="33" customHeight="1">
      <c r="A1" s="98" t="s">
        <v>0</v>
      </c>
      <c r="B1" s="98"/>
      <c r="C1" s="98"/>
      <c r="D1" s="98"/>
      <c r="E1" s="98"/>
      <c r="F1" s="88"/>
      <c r="G1" s="39"/>
      <c r="H1" s="98" t="s">
        <v>1</v>
      </c>
      <c r="I1" s="98"/>
      <c r="J1" s="39"/>
      <c r="K1" s="39"/>
      <c r="L1" s="98" t="s">
        <v>2</v>
      </c>
      <c r="M1" s="98"/>
      <c r="N1" s="98"/>
      <c r="O1" s="39"/>
      <c r="P1" s="98" t="s">
        <v>3</v>
      </c>
      <c r="Q1" s="98"/>
      <c r="R1" s="98"/>
      <c r="S1" s="39"/>
    </row>
    <row r="2" spans="1:19" ht="18">
      <c r="A2" s="99">
        <f>E7+P2</f>
        <v>3378.5199999999995</v>
      </c>
      <c r="B2" s="99"/>
      <c r="C2" s="99"/>
      <c r="D2" s="99"/>
      <c r="E2" s="99"/>
      <c r="F2" s="89"/>
      <c r="G2" s="40"/>
      <c r="H2" s="100">
        <f>SUM(I4:I11)*-1</f>
        <v>-3407.48</v>
      </c>
      <c r="I2" s="100"/>
      <c r="J2" s="40"/>
      <c r="K2" s="40"/>
      <c r="L2" s="101">
        <f>SUM(M5:M12)*-1</f>
        <v>-113.89</v>
      </c>
      <c r="M2" s="101"/>
      <c r="N2" s="101"/>
      <c r="O2" s="41"/>
      <c r="P2" s="102">
        <f>SUM(H2:N2)</f>
        <v>-3521.37</v>
      </c>
      <c r="Q2" s="102"/>
      <c r="R2" s="102"/>
      <c r="S2" s="40"/>
    </row>
    <row r="3" spans="1:19" ht="16.5" customHeight="1">
      <c r="A3" s="89"/>
      <c r="B3" s="89"/>
      <c r="C3" s="89"/>
      <c r="D3" s="89"/>
      <c r="E3" s="89"/>
      <c r="F3" s="89"/>
      <c r="G3" s="40"/>
      <c r="H3" s="90"/>
      <c r="I3" s="90"/>
      <c r="J3" s="42" t="s">
        <v>4</v>
      </c>
      <c r="K3" s="40"/>
      <c r="L3" s="91"/>
      <c r="M3" s="91"/>
      <c r="N3" s="91"/>
      <c r="O3" s="92"/>
      <c r="P3" s="92"/>
      <c r="Q3" s="92"/>
      <c r="R3" s="92"/>
      <c r="S3" s="40"/>
    </row>
    <row r="4" spans="1:19">
      <c r="A4" s="42"/>
      <c r="B4" s="42" t="s">
        <v>5</v>
      </c>
      <c r="C4" s="42" t="s">
        <v>6</v>
      </c>
      <c r="D4" s="42" t="s">
        <v>7</v>
      </c>
      <c r="E4" s="42" t="s">
        <v>8</v>
      </c>
      <c r="F4" s="42" t="s">
        <v>9</v>
      </c>
      <c r="G4" s="42"/>
      <c r="H4" s="43" t="s">
        <v>10</v>
      </c>
      <c r="I4" s="44">
        <v>1460</v>
      </c>
      <c r="J4" s="45" t="s">
        <v>11</v>
      </c>
      <c r="K4" s="42"/>
      <c r="L4" s="42" t="s">
        <v>12</v>
      </c>
      <c r="M4" s="42" t="s">
        <v>13</v>
      </c>
      <c r="N4" s="42" t="s">
        <v>14</v>
      </c>
      <c r="O4" s="42" t="s">
        <v>4</v>
      </c>
      <c r="P4" s="42"/>
      <c r="Q4" s="46" t="s">
        <v>15</v>
      </c>
      <c r="R4" s="47" t="s">
        <v>16</v>
      </c>
      <c r="S4" s="42"/>
    </row>
    <row r="5" spans="1:19">
      <c r="A5" s="48" t="s">
        <v>17</v>
      </c>
      <c r="B5" s="49">
        <v>3500</v>
      </c>
      <c r="C5" s="49">
        <f>B5-D5</f>
        <v>359</v>
      </c>
      <c r="D5" s="49">
        <v>3141</v>
      </c>
      <c r="E5" s="113"/>
      <c r="F5" s="50">
        <f>IF(A2&gt;0,A2/2,"R$ 0,00")-B19-B20-B21-B22-B23-B24</f>
        <v>1689.2599999999998</v>
      </c>
      <c r="G5" s="45"/>
      <c r="H5" s="43" t="s">
        <v>18</v>
      </c>
      <c r="I5" s="44">
        <v>129.9</v>
      </c>
      <c r="J5" s="45" t="s">
        <v>11</v>
      </c>
      <c r="K5" s="45"/>
      <c r="L5" s="42">
        <v>9</v>
      </c>
      <c r="M5" s="51">
        <v>113.89</v>
      </c>
      <c r="N5" s="52" t="s">
        <v>54</v>
      </c>
      <c r="O5" s="45" t="s">
        <v>11</v>
      </c>
      <c r="P5" s="53"/>
      <c r="Q5" s="54">
        <f>SUMIF(J:J,"ok",I:I)+SUMIF(O:O,"ok",M:M)</f>
        <v>3583.37</v>
      </c>
      <c r="R5" s="55">
        <f>P2+Q5</f>
        <v>62</v>
      </c>
      <c r="S5" s="45"/>
    </row>
    <row r="6" spans="1:19">
      <c r="A6" s="48" t="s">
        <v>20</v>
      </c>
      <c r="B6" s="49">
        <v>5369.15</v>
      </c>
      <c r="C6" s="49">
        <f>B6-D6</f>
        <v>1610.2599999999998</v>
      </c>
      <c r="D6" s="49">
        <v>3758.89</v>
      </c>
      <c r="E6" s="113"/>
      <c r="F6" s="50">
        <f>IF(A2&gt;0,A2/2,"R$ 0,00")</f>
        <v>1689.2599999999998</v>
      </c>
      <c r="G6" s="45"/>
      <c r="H6" s="43" t="s">
        <v>21</v>
      </c>
      <c r="I6" s="44">
        <v>95.1</v>
      </c>
      <c r="J6" s="45" t="s">
        <v>11</v>
      </c>
      <c r="K6" s="45"/>
      <c r="L6" s="42"/>
      <c r="M6" s="51"/>
      <c r="N6" s="52"/>
      <c r="O6" s="45"/>
      <c r="P6" s="53"/>
      <c r="Q6" s="51"/>
      <c r="R6" s="52"/>
      <c r="S6" s="45"/>
    </row>
    <row r="7" spans="1:19">
      <c r="A7" s="48" t="s">
        <v>3</v>
      </c>
      <c r="B7" s="56"/>
      <c r="C7" s="56"/>
      <c r="D7" s="57"/>
      <c r="E7" s="49">
        <f>D5+D6+E5</f>
        <v>6899.8899999999994</v>
      </c>
      <c r="F7" s="58"/>
      <c r="G7" s="45"/>
      <c r="H7" s="43" t="s">
        <v>41</v>
      </c>
      <c r="I7" s="44">
        <v>700</v>
      </c>
      <c r="J7" s="45" t="s">
        <v>11</v>
      </c>
      <c r="K7" s="45"/>
      <c r="L7" s="42"/>
      <c r="M7" s="51"/>
      <c r="N7" s="52"/>
      <c r="O7" s="45"/>
      <c r="P7" s="53"/>
      <c r="Q7" s="51"/>
      <c r="R7" s="52"/>
      <c r="S7" s="45"/>
    </row>
    <row r="8" spans="1:19">
      <c r="A8" s="48"/>
      <c r="B8" s="56"/>
      <c r="C8" s="56"/>
      <c r="D8" s="56"/>
      <c r="E8" s="49"/>
      <c r="F8" s="25"/>
      <c r="G8" s="45"/>
      <c r="H8" s="43" t="s">
        <v>46</v>
      </c>
      <c r="I8" s="44">
        <v>64.900000000000006</v>
      </c>
      <c r="J8" s="45" t="s">
        <v>11</v>
      </c>
      <c r="K8" s="45"/>
      <c r="L8" s="42"/>
      <c r="M8" s="51"/>
      <c r="N8" s="52"/>
      <c r="O8" s="53"/>
      <c r="P8" s="53"/>
      <c r="Q8" s="51"/>
      <c r="R8" s="52"/>
      <c r="S8" s="45"/>
    </row>
    <row r="9" spans="1:19">
      <c r="A9" s="25"/>
      <c r="B9" s="56"/>
      <c r="C9" s="56"/>
      <c r="D9" s="56"/>
      <c r="E9" s="56"/>
      <c r="F9" s="25"/>
      <c r="G9" s="45"/>
      <c r="H9" s="43" t="s">
        <v>44</v>
      </c>
      <c r="I9" s="44">
        <v>468.45</v>
      </c>
      <c r="J9" s="45" t="s">
        <v>11</v>
      </c>
      <c r="K9" s="45"/>
      <c r="L9" s="42"/>
      <c r="M9" s="51"/>
      <c r="N9" s="52"/>
      <c r="O9" s="53"/>
      <c r="P9" s="53"/>
      <c r="Q9" s="51"/>
      <c r="R9" s="52"/>
      <c r="S9" s="45"/>
    </row>
    <row r="10" spans="1:19">
      <c r="A10" s="25"/>
      <c r="B10" s="25"/>
      <c r="C10" s="25"/>
      <c r="D10" s="25"/>
      <c r="E10" s="25"/>
      <c r="F10" s="25"/>
      <c r="G10" s="45"/>
      <c r="H10" s="43" t="s">
        <v>33</v>
      </c>
      <c r="I10" s="44">
        <v>89.13</v>
      </c>
      <c r="J10" s="45" t="s">
        <v>11</v>
      </c>
      <c r="K10" s="45"/>
      <c r="L10" s="42"/>
      <c r="M10" s="51"/>
      <c r="N10" s="52"/>
      <c r="O10" s="53"/>
      <c r="P10" s="53"/>
      <c r="Q10" s="51"/>
      <c r="R10" s="52"/>
      <c r="S10" s="45"/>
    </row>
    <row r="11" spans="1:19">
      <c r="A11" s="114"/>
      <c r="B11" s="114"/>
      <c r="C11" s="25"/>
      <c r="D11" s="25"/>
      <c r="E11" s="25"/>
      <c r="F11" s="25"/>
      <c r="G11" s="45"/>
      <c r="H11" s="43" t="s">
        <v>38</v>
      </c>
      <c r="I11" s="44">
        <v>400</v>
      </c>
      <c r="J11" s="45" t="s">
        <v>11</v>
      </c>
      <c r="K11" s="45"/>
      <c r="L11" s="42"/>
      <c r="M11" s="51"/>
      <c r="N11" s="52"/>
      <c r="O11" s="53"/>
      <c r="P11" s="53"/>
      <c r="Q11" s="51"/>
      <c r="R11" s="52"/>
      <c r="S11" s="45"/>
    </row>
    <row r="12" spans="1:19">
      <c r="A12" s="25"/>
      <c r="B12" s="25"/>
      <c r="C12" s="25"/>
      <c r="D12" s="25"/>
      <c r="E12" s="25"/>
      <c r="F12" s="25"/>
      <c r="G12" s="45"/>
      <c r="H12" s="43" t="s">
        <v>47</v>
      </c>
      <c r="I12" s="44">
        <v>62</v>
      </c>
      <c r="J12" s="45" t="s">
        <v>11</v>
      </c>
      <c r="K12" s="45"/>
      <c r="L12" s="42"/>
      <c r="M12" s="51"/>
      <c r="N12" s="52"/>
      <c r="O12" s="53"/>
      <c r="P12" s="53"/>
      <c r="Q12" s="51"/>
      <c r="R12" s="52"/>
      <c r="S12" s="45"/>
    </row>
    <row r="13" spans="1:19">
      <c r="A13" s="25"/>
      <c r="B13" s="25"/>
      <c r="C13" s="25"/>
      <c r="D13" s="25"/>
      <c r="E13" s="25"/>
      <c r="F13" s="25"/>
      <c r="G13" s="45"/>
      <c r="H13" s="43"/>
      <c r="I13" s="44"/>
      <c r="J13" s="45"/>
      <c r="K13" s="45"/>
      <c r="L13" s="53"/>
      <c r="M13" s="51"/>
      <c r="N13" s="52"/>
      <c r="O13" s="53"/>
      <c r="P13" s="53"/>
      <c r="Q13" s="51"/>
      <c r="R13" s="52"/>
      <c r="S13" s="45"/>
    </row>
    <row r="14" spans="1:19">
      <c r="A14" s="25"/>
      <c r="B14" s="25"/>
      <c r="C14" s="25"/>
      <c r="D14" s="25"/>
      <c r="E14" s="56"/>
      <c r="F14" s="25"/>
      <c r="G14" s="45"/>
      <c r="H14" s="43"/>
      <c r="I14" s="44"/>
      <c r="J14" s="45"/>
      <c r="K14" s="45"/>
      <c r="L14" s="42" t="s">
        <v>3</v>
      </c>
      <c r="M14" s="55">
        <f>((M5*L5)+(M6*L6)+(M7*L7)+(M8*L8)+(M9*L9)+(M10*L10)+(M11+L11)+(M12+L12))*-1</f>
        <v>-1025.01</v>
      </c>
      <c r="N14" s="52"/>
      <c r="O14" s="53"/>
      <c r="P14" s="53"/>
      <c r="Q14" s="51"/>
      <c r="R14" s="52"/>
      <c r="S14" s="45"/>
    </row>
    <row r="15" spans="1:19">
      <c r="A15" s="25"/>
      <c r="B15" s="25"/>
      <c r="C15" s="25"/>
      <c r="D15" s="25"/>
      <c r="E15" s="56"/>
      <c r="F15" s="25"/>
      <c r="G15" s="45"/>
      <c r="H15" s="43"/>
      <c r="I15" s="44"/>
      <c r="J15" s="45"/>
      <c r="K15" s="45"/>
      <c r="L15" s="53"/>
      <c r="M15" s="51"/>
      <c r="N15" s="52"/>
      <c r="O15" s="53"/>
      <c r="P15" s="53"/>
      <c r="Q15" s="51"/>
      <c r="R15" s="52"/>
      <c r="S15" s="45"/>
    </row>
    <row r="16" spans="1:19">
      <c r="A16" s="25"/>
      <c r="B16" s="25"/>
      <c r="C16" s="25"/>
      <c r="D16" s="25"/>
      <c r="E16" s="56"/>
      <c r="F16" s="25"/>
      <c r="G16" s="45"/>
      <c r="H16" s="43"/>
      <c r="I16" s="44"/>
      <c r="J16" s="45"/>
      <c r="K16" s="45"/>
      <c r="L16" s="53"/>
      <c r="M16" s="51"/>
      <c r="N16" s="52"/>
      <c r="O16" s="53"/>
      <c r="P16" s="53"/>
      <c r="Q16" s="51"/>
      <c r="R16" s="52"/>
      <c r="S16" s="45"/>
    </row>
    <row r="17" spans="1:19" ht="30.75" customHeight="1">
      <c r="A17" s="112"/>
      <c r="B17" s="112"/>
      <c r="C17" s="112"/>
      <c r="D17" s="112"/>
      <c r="E17" s="56"/>
      <c r="F17" s="25"/>
      <c r="G17" s="45"/>
      <c r="H17" s="43"/>
      <c r="I17" s="44"/>
      <c r="J17" s="45"/>
      <c r="K17" s="45"/>
      <c r="L17" s="111"/>
      <c r="M17" s="111"/>
      <c r="N17" s="111"/>
      <c r="O17" s="111"/>
      <c r="P17" s="53"/>
      <c r="Q17" s="51"/>
      <c r="R17" s="52"/>
      <c r="S17" s="45"/>
    </row>
    <row r="18" spans="1:19">
      <c r="A18" s="42"/>
      <c r="B18" s="42"/>
      <c r="C18" s="42"/>
      <c r="D18" s="42"/>
      <c r="E18" s="56"/>
      <c r="F18" s="25"/>
      <c r="G18" s="45"/>
      <c r="H18" s="43"/>
      <c r="I18" s="44"/>
      <c r="J18" s="45"/>
      <c r="K18" s="45"/>
      <c r="L18" s="42"/>
      <c r="M18" s="42"/>
      <c r="N18" s="42"/>
      <c r="O18" s="42"/>
      <c r="P18" s="53"/>
      <c r="Q18" s="51"/>
      <c r="R18" s="52"/>
      <c r="S18" s="45"/>
    </row>
    <row r="19" spans="1:19">
      <c r="A19" s="42"/>
      <c r="B19" s="51"/>
      <c r="C19" s="52"/>
      <c r="D19" s="53"/>
      <c r="E19" s="56"/>
      <c r="F19" s="25"/>
      <c r="G19" s="45"/>
      <c r="H19" s="43"/>
      <c r="I19" s="44"/>
      <c r="J19" s="45"/>
      <c r="K19" s="45"/>
      <c r="L19" s="42"/>
      <c r="M19" s="51"/>
      <c r="N19" s="52"/>
      <c r="O19" s="53"/>
      <c r="P19" s="53"/>
      <c r="Q19" s="51"/>
      <c r="R19" s="52"/>
      <c r="S19" s="45"/>
    </row>
    <row r="20" spans="1:19">
      <c r="A20" s="42"/>
      <c r="B20" s="51"/>
      <c r="C20" s="52"/>
      <c r="D20" s="53"/>
      <c r="E20" s="56"/>
      <c r="F20" s="25"/>
      <c r="G20" s="45"/>
      <c r="H20" s="43"/>
      <c r="I20" s="44"/>
      <c r="J20" s="45"/>
      <c r="K20" s="45"/>
      <c r="L20" s="42"/>
      <c r="M20" s="51"/>
      <c r="N20" s="52"/>
      <c r="O20" s="53"/>
      <c r="P20" s="53"/>
      <c r="Q20" s="51"/>
      <c r="R20" s="52"/>
      <c r="S20" s="45"/>
    </row>
    <row r="21" spans="1:19">
      <c r="A21" s="42"/>
      <c r="B21" s="51"/>
      <c r="C21" s="52"/>
      <c r="D21" s="53"/>
      <c r="E21" s="56"/>
      <c r="F21" s="25"/>
      <c r="G21" s="45"/>
      <c r="H21" s="43"/>
      <c r="I21" s="44"/>
      <c r="J21" s="45"/>
      <c r="K21" s="45"/>
      <c r="L21" s="42"/>
      <c r="M21" s="51"/>
      <c r="N21" s="52"/>
      <c r="O21" s="53"/>
      <c r="P21" s="53"/>
      <c r="Q21" s="51"/>
      <c r="R21" s="52"/>
      <c r="S21" s="45"/>
    </row>
    <row r="22" spans="1:19">
      <c r="A22" s="42"/>
      <c r="B22" s="51"/>
      <c r="C22" s="52"/>
      <c r="D22" s="25"/>
      <c r="E22" s="25"/>
      <c r="F22" s="25"/>
      <c r="G22" s="45"/>
      <c r="H22" s="43"/>
      <c r="I22" s="44"/>
      <c r="J22" s="45"/>
      <c r="K22" s="45"/>
      <c r="L22" s="42"/>
      <c r="M22" s="51"/>
      <c r="N22" s="52"/>
      <c r="O22" s="53"/>
      <c r="P22" s="53"/>
      <c r="Q22" s="51"/>
      <c r="R22" s="52"/>
      <c r="S22" s="45"/>
    </row>
    <row r="23" spans="1:19">
      <c r="A23" s="42"/>
      <c r="B23" s="51"/>
      <c r="C23" s="52"/>
      <c r="D23" s="25"/>
      <c r="E23" s="25"/>
      <c r="F23" s="25"/>
      <c r="G23" s="45"/>
      <c r="H23" s="43"/>
      <c r="I23" s="44"/>
      <c r="J23" s="45"/>
      <c r="K23" s="45"/>
      <c r="L23" s="42"/>
      <c r="M23" s="51"/>
      <c r="N23" s="52"/>
      <c r="O23" s="53"/>
      <c r="P23" s="53"/>
      <c r="Q23" s="51"/>
      <c r="R23" s="52"/>
      <c r="S23" s="45"/>
    </row>
    <row r="24" spans="1:19">
      <c r="A24" s="42"/>
      <c r="B24" s="25"/>
      <c r="C24" s="25"/>
      <c r="D24" s="25"/>
      <c r="E24" s="25"/>
      <c r="F24" s="25"/>
      <c r="G24" s="45"/>
      <c r="H24" s="43"/>
      <c r="I24" s="44"/>
      <c r="J24" s="45"/>
      <c r="K24" s="45"/>
      <c r="L24" s="42"/>
      <c r="M24" s="51"/>
      <c r="N24" s="52"/>
      <c r="O24" s="59"/>
      <c r="P24" s="53"/>
      <c r="Q24" s="51"/>
      <c r="R24" s="52"/>
      <c r="S24" s="45"/>
    </row>
    <row r="25" spans="1:19">
      <c r="A25" s="42"/>
      <c r="B25" s="25"/>
      <c r="C25" s="25"/>
      <c r="D25" s="25"/>
      <c r="E25" s="25"/>
      <c r="F25" s="25"/>
      <c r="G25" s="45"/>
      <c r="H25" s="43"/>
      <c r="I25" s="44"/>
      <c r="J25" s="45"/>
      <c r="K25" s="45"/>
      <c r="L25" s="42"/>
      <c r="M25" s="51"/>
      <c r="N25" s="52"/>
      <c r="O25" s="53"/>
      <c r="P25" s="53"/>
      <c r="Q25" s="51"/>
      <c r="R25" s="52"/>
      <c r="S25" s="45"/>
    </row>
    <row r="26" spans="1:19">
      <c r="A26" s="42"/>
      <c r="B26" s="25"/>
      <c r="C26" s="25"/>
      <c r="D26" s="25"/>
      <c r="E26" s="25"/>
      <c r="F26" s="25"/>
      <c r="G26" s="45"/>
      <c r="H26" s="43"/>
      <c r="I26" s="44"/>
      <c r="J26" s="45"/>
      <c r="K26" s="45"/>
      <c r="L26" s="42"/>
      <c r="M26" s="51"/>
      <c r="N26" s="52"/>
      <c r="O26" s="59"/>
      <c r="P26" s="53"/>
      <c r="Q26" s="51"/>
      <c r="R26" s="52"/>
      <c r="S26" s="45"/>
    </row>
    <row r="27" spans="1:19">
      <c r="A27" s="58"/>
      <c r="B27" s="55"/>
      <c r="C27" s="25"/>
      <c r="D27" s="25"/>
      <c r="E27" s="25"/>
      <c r="F27" s="25"/>
      <c r="G27" s="45"/>
      <c r="H27" s="43"/>
      <c r="I27" s="44"/>
      <c r="J27" s="45"/>
      <c r="K27" s="45"/>
      <c r="L27" s="42"/>
      <c r="M27" s="51"/>
      <c r="N27" s="52"/>
      <c r="O27" s="53"/>
      <c r="P27" s="53"/>
      <c r="Q27" s="51"/>
      <c r="R27" s="52"/>
      <c r="S27" s="45"/>
    </row>
    <row r="28" spans="1:19">
      <c r="A28" s="58"/>
      <c r="B28" s="55"/>
      <c r="C28" s="25"/>
      <c r="D28" s="25"/>
      <c r="E28" s="25"/>
      <c r="F28" s="25"/>
      <c r="G28" s="45"/>
      <c r="H28" s="43"/>
      <c r="I28" s="44"/>
      <c r="J28" s="45"/>
      <c r="K28" s="45"/>
      <c r="L28" s="42"/>
      <c r="M28" s="51"/>
      <c r="N28" s="52"/>
      <c r="O28" s="53"/>
      <c r="P28" s="53"/>
      <c r="Q28" s="51"/>
      <c r="R28" s="52"/>
      <c r="S28" s="45"/>
    </row>
    <row r="29" spans="1:19">
      <c r="A29" s="45"/>
      <c r="B29" s="25"/>
      <c r="C29" s="45"/>
      <c r="D29" s="45"/>
      <c r="E29" s="45"/>
      <c r="F29" s="45"/>
      <c r="G29" s="45"/>
      <c r="H29" s="43"/>
      <c r="I29" s="44"/>
      <c r="J29" s="45"/>
      <c r="K29" s="45"/>
      <c r="L29" s="42"/>
      <c r="M29" s="51"/>
      <c r="N29" s="52"/>
      <c r="O29" s="53"/>
      <c r="P29" s="53"/>
      <c r="Q29" s="51"/>
      <c r="R29" s="52"/>
      <c r="S29" s="45"/>
    </row>
    <row r="30" spans="1:19">
      <c r="A30" s="45"/>
      <c r="B30" s="25"/>
      <c r="C30" s="45"/>
      <c r="D30" s="45"/>
      <c r="E30" s="45"/>
      <c r="F30" s="45"/>
      <c r="G30" s="45"/>
      <c r="H30" s="43"/>
      <c r="I30" s="44"/>
      <c r="J30" s="45"/>
      <c r="K30" s="45"/>
      <c r="L30" s="42"/>
      <c r="M30" s="51"/>
      <c r="N30" s="52"/>
      <c r="O30" s="53"/>
      <c r="P30" s="53"/>
      <c r="Q30" s="51"/>
      <c r="R30" s="52"/>
      <c r="S30" s="45"/>
    </row>
    <row r="31" spans="1:19">
      <c r="A31" s="45"/>
      <c r="B31" s="25"/>
      <c r="C31" s="45"/>
      <c r="D31" s="45"/>
      <c r="E31" s="45"/>
      <c r="F31" s="45"/>
      <c r="G31" s="45"/>
      <c r="H31" s="43"/>
      <c r="I31" s="44"/>
      <c r="J31" s="45"/>
      <c r="K31" s="45"/>
      <c r="L31" s="42"/>
      <c r="M31" s="51"/>
      <c r="N31" s="52"/>
      <c r="O31" s="53"/>
      <c r="P31" s="53"/>
      <c r="Q31" s="51"/>
      <c r="R31" s="52"/>
      <c r="S31" s="45"/>
    </row>
    <row r="32" spans="1:19">
      <c r="A32" s="45"/>
      <c r="B32" s="25"/>
      <c r="C32" s="45"/>
      <c r="D32" s="45"/>
      <c r="E32" s="45"/>
      <c r="F32" s="45"/>
      <c r="G32" s="45"/>
      <c r="H32" s="43"/>
      <c r="I32" s="44"/>
      <c r="J32" s="45"/>
      <c r="K32" s="45"/>
      <c r="L32" s="53"/>
      <c r="M32" s="51"/>
      <c r="N32" s="52"/>
      <c r="O32" s="53"/>
      <c r="P32" s="53"/>
      <c r="Q32" s="51"/>
      <c r="R32" s="52"/>
      <c r="S32" s="45"/>
    </row>
    <row r="33" spans="1:19">
      <c r="A33" s="45"/>
      <c r="B33" s="25"/>
      <c r="C33" s="45"/>
      <c r="D33" s="45"/>
      <c r="E33" s="45"/>
      <c r="F33" s="45"/>
      <c r="G33" s="45"/>
      <c r="H33" s="43"/>
      <c r="I33" s="44"/>
      <c r="J33" s="45"/>
      <c r="K33" s="45"/>
      <c r="L33" s="53"/>
      <c r="M33" s="51"/>
      <c r="N33" s="52"/>
      <c r="O33" s="53"/>
      <c r="P33" s="53"/>
      <c r="Q33" s="51"/>
      <c r="R33" s="52"/>
      <c r="S33" s="45"/>
    </row>
    <row r="34" spans="1:19">
      <c r="A34" s="45"/>
      <c r="B34" s="25"/>
      <c r="C34" s="45"/>
      <c r="D34" s="45"/>
      <c r="E34" s="45"/>
      <c r="F34" s="45"/>
      <c r="G34" s="45"/>
      <c r="H34" s="43"/>
      <c r="I34" s="44"/>
      <c r="J34" s="45"/>
      <c r="K34" s="45"/>
      <c r="L34" s="53"/>
      <c r="M34" s="51"/>
      <c r="N34" s="52"/>
      <c r="O34" s="53"/>
      <c r="P34" s="53"/>
      <c r="Q34" s="51"/>
      <c r="R34" s="52"/>
      <c r="S34" s="45"/>
    </row>
    <row r="35" spans="1:19">
      <c r="A35" s="45"/>
      <c r="B35" s="25"/>
      <c r="C35" s="45"/>
      <c r="D35" s="45"/>
      <c r="E35" s="45"/>
      <c r="F35" s="45"/>
      <c r="G35" s="45"/>
      <c r="H35" s="43"/>
      <c r="I35" s="44"/>
      <c r="J35" s="45"/>
      <c r="K35" s="45"/>
      <c r="L35" s="53"/>
      <c r="M35" s="51"/>
      <c r="N35" s="52"/>
      <c r="O35" s="53"/>
      <c r="P35" s="53"/>
      <c r="Q35" s="51"/>
      <c r="R35" s="52"/>
      <c r="S35" s="45"/>
    </row>
    <row r="36" spans="1:19">
      <c r="A36" s="45"/>
      <c r="B36" s="25"/>
      <c r="C36" s="45"/>
      <c r="D36" s="45"/>
      <c r="E36" s="45"/>
      <c r="F36" s="45"/>
      <c r="G36" s="45"/>
      <c r="H36" s="43"/>
      <c r="I36" s="44"/>
      <c r="J36" s="45"/>
      <c r="K36" s="45"/>
      <c r="L36" s="53"/>
      <c r="M36" s="51"/>
      <c r="N36" s="52"/>
      <c r="O36" s="53"/>
      <c r="P36" s="53"/>
      <c r="Q36" s="51"/>
      <c r="R36" s="52"/>
      <c r="S36" s="45"/>
    </row>
    <row r="37" spans="1:19">
      <c r="A37" s="45"/>
      <c r="B37" s="25"/>
      <c r="C37" s="45"/>
      <c r="D37" s="45"/>
      <c r="E37" s="45"/>
      <c r="F37" s="45"/>
      <c r="G37" s="45"/>
      <c r="H37" s="43"/>
      <c r="I37" s="44"/>
      <c r="J37" s="45"/>
      <c r="K37" s="45"/>
      <c r="L37" s="53"/>
      <c r="M37" s="51"/>
      <c r="N37" s="52"/>
      <c r="O37" s="53"/>
      <c r="P37" s="53"/>
      <c r="Q37" s="51"/>
      <c r="R37" s="52"/>
      <c r="S37" s="45"/>
    </row>
    <row r="38" spans="1:19">
      <c r="A38" s="45"/>
      <c r="B38" s="25"/>
      <c r="C38" s="45"/>
      <c r="D38" s="45"/>
      <c r="E38" s="45"/>
      <c r="F38" s="45"/>
      <c r="G38" s="45"/>
      <c r="H38" s="43"/>
      <c r="I38" s="44"/>
      <c r="J38" s="45"/>
      <c r="K38" s="45"/>
      <c r="L38" s="53"/>
      <c r="M38" s="51"/>
      <c r="N38" s="52"/>
      <c r="O38" s="53"/>
      <c r="P38" s="53"/>
      <c r="Q38" s="51"/>
      <c r="R38" s="52"/>
      <c r="S38" s="45"/>
    </row>
    <row r="39" spans="1:19">
      <c r="A39" s="45"/>
      <c r="B39" s="25"/>
      <c r="C39" s="45"/>
      <c r="D39" s="45"/>
      <c r="E39" s="45"/>
      <c r="F39" s="45"/>
      <c r="G39" s="45"/>
      <c r="H39" s="43"/>
      <c r="I39" s="44"/>
      <c r="J39" s="45"/>
      <c r="K39" s="45"/>
      <c r="L39" s="53"/>
      <c r="M39" s="51"/>
      <c r="N39" s="52"/>
      <c r="O39" s="53"/>
      <c r="P39" s="53"/>
      <c r="Q39" s="51"/>
      <c r="R39" s="52"/>
      <c r="S39" s="45"/>
    </row>
    <row r="40" spans="1:19">
      <c r="A40" s="45"/>
      <c r="B40" s="25"/>
      <c r="C40" s="45"/>
      <c r="D40" s="45"/>
      <c r="E40" s="45"/>
      <c r="F40" s="45"/>
      <c r="G40" s="45"/>
      <c r="H40" s="43"/>
      <c r="I40" s="44"/>
      <c r="J40" s="45"/>
      <c r="K40" s="45"/>
      <c r="L40" s="53"/>
      <c r="M40" s="51"/>
      <c r="N40" s="52"/>
      <c r="O40" s="53"/>
      <c r="P40" s="53"/>
      <c r="Q40" s="51"/>
      <c r="R40" s="52"/>
      <c r="S40" s="45"/>
    </row>
    <row r="41" spans="1:19">
      <c r="A41" s="45"/>
      <c r="B41" s="25"/>
      <c r="C41" s="45"/>
      <c r="D41" s="45"/>
      <c r="E41" s="45"/>
      <c r="F41" s="45"/>
      <c r="G41" s="45"/>
      <c r="H41" s="43"/>
      <c r="I41" s="44"/>
      <c r="J41" s="45"/>
      <c r="K41" s="45"/>
      <c r="L41" s="53"/>
      <c r="M41" s="51"/>
      <c r="N41" s="52"/>
      <c r="O41" s="53"/>
      <c r="P41" s="53"/>
      <c r="Q41" s="51"/>
      <c r="R41" s="52"/>
      <c r="S41" s="45"/>
    </row>
  </sheetData>
  <mergeCells count="12">
    <mergeCell ref="L17:O17"/>
    <mergeCell ref="A17:D17"/>
    <mergeCell ref="P1:R1"/>
    <mergeCell ref="A2:E2"/>
    <mergeCell ref="H2:I2"/>
    <mergeCell ref="L2:N2"/>
    <mergeCell ref="P2:R2"/>
    <mergeCell ref="E5:E6"/>
    <mergeCell ref="A11:B11"/>
    <mergeCell ref="A1:E1"/>
    <mergeCell ref="H1:I1"/>
    <mergeCell ref="L1:N1"/>
  </mergeCells>
  <conditionalFormatting sqref="A2:F3">
    <cfRule type="cellIs" dxfId="5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AAE82-AFB1-465A-BB88-DDED0470FC08}">
  <dimension ref="A1:S41"/>
  <sheetViews>
    <sheetView showGridLines="0" zoomScaleNormal="100" workbookViewId="0">
      <selection activeCell="E16" sqref="A16:E31"/>
    </sheetView>
  </sheetViews>
  <sheetFormatPr defaultColWidth="13.28515625" defaultRowHeight="15"/>
  <cols>
    <col min="1" max="1" width="15.28515625" style="38" bestFit="1" customWidth="1"/>
    <col min="2" max="2" width="13.85546875" style="38" customWidth="1"/>
    <col min="3" max="3" width="15" style="38" bestFit="1" customWidth="1"/>
    <col min="4" max="4" width="15.85546875" style="38" customWidth="1"/>
    <col min="5" max="5" width="17.5703125" style="38" bestFit="1" customWidth="1"/>
    <col min="6" max="6" width="17.5703125" style="38" customWidth="1"/>
    <col min="7" max="7" width="13.28515625" style="38" customWidth="1"/>
    <col min="8" max="8" width="21.42578125" style="38" bestFit="1" customWidth="1"/>
    <col min="9" max="9" width="12" style="38" bestFit="1" customWidth="1"/>
    <col min="10" max="12" width="9.140625" style="38" bestFit="1" customWidth="1"/>
    <col min="13" max="13" width="15.28515625" style="38" bestFit="1" customWidth="1"/>
    <col min="14" max="14" width="23.28515625" style="38" bestFit="1" customWidth="1"/>
    <col min="15" max="16384" width="13.28515625" style="38"/>
  </cols>
  <sheetData>
    <row r="1" spans="1:19" ht="33" customHeight="1">
      <c r="A1" s="98" t="s">
        <v>0</v>
      </c>
      <c r="B1" s="98"/>
      <c r="C1" s="98"/>
      <c r="D1" s="98"/>
      <c r="E1" s="98"/>
      <c r="F1" s="88"/>
      <c r="G1" s="39"/>
      <c r="H1" s="98" t="s">
        <v>1</v>
      </c>
      <c r="I1" s="98"/>
      <c r="J1" s="39"/>
      <c r="K1" s="39"/>
      <c r="L1" s="98" t="s">
        <v>2</v>
      </c>
      <c r="M1" s="98"/>
      <c r="N1" s="98"/>
      <c r="O1" s="39"/>
      <c r="P1" s="98" t="s">
        <v>3</v>
      </c>
      <c r="Q1" s="98"/>
      <c r="R1" s="98"/>
      <c r="S1" s="39"/>
    </row>
    <row r="2" spans="1:19" ht="18">
      <c r="A2" s="99">
        <f>E7+P2</f>
        <v>873.65999999999985</v>
      </c>
      <c r="B2" s="99"/>
      <c r="C2" s="99"/>
      <c r="D2" s="99"/>
      <c r="E2" s="99"/>
      <c r="F2" s="89"/>
      <c r="G2" s="40"/>
      <c r="H2" s="100">
        <f>SUM(I4:I11)*-1</f>
        <v>-3441.45</v>
      </c>
      <c r="I2" s="100"/>
      <c r="J2" s="40"/>
      <c r="K2" s="40"/>
      <c r="L2" s="101">
        <f>SUM(M5:M12)*-1</f>
        <v>-2798.89</v>
      </c>
      <c r="M2" s="101"/>
      <c r="N2" s="101"/>
      <c r="O2" s="41"/>
      <c r="P2" s="102">
        <f>SUM(H2:N2)</f>
        <v>-6240.34</v>
      </c>
      <c r="Q2" s="102"/>
      <c r="R2" s="102"/>
      <c r="S2" s="40"/>
    </row>
    <row r="3" spans="1:19" ht="16.5" customHeight="1">
      <c r="A3" s="89"/>
      <c r="B3" s="89"/>
      <c r="C3" s="89"/>
      <c r="D3" s="89"/>
      <c r="E3" s="89"/>
      <c r="F3" s="89"/>
      <c r="G3" s="40"/>
      <c r="H3" s="90"/>
      <c r="I3" s="90"/>
      <c r="J3" s="42" t="s">
        <v>4</v>
      </c>
      <c r="K3" s="40"/>
      <c r="L3" s="91"/>
      <c r="M3" s="91"/>
      <c r="N3" s="91"/>
      <c r="O3" s="92"/>
      <c r="P3" s="92"/>
      <c r="Q3" s="92"/>
      <c r="R3" s="92"/>
      <c r="S3" s="40"/>
    </row>
    <row r="4" spans="1:19">
      <c r="A4" s="42"/>
      <c r="B4" s="42" t="s">
        <v>5</v>
      </c>
      <c r="C4" s="42" t="s">
        <v>6</v>
      </c>
      <c r="D4" s="42" t="s">
        <v>7</v>
      </c>
      <c r="E4" s="42" t="s">
        <v>8</v>
      </c>
      <c r="F4" s="42" t="s">
        <v>9</v>
      </c>
      <c r="G4" s="42"/>
      <c r="H4" s="43" t="s">
        <v>10</v>
      </c>
      <c r="I4" s="44">
        <v>1460</v>
      </c>
      <c r="J4" s="45" t="s">
        <v>55</v>
      </c>
      <c r="K4" s="42"/>
      <c r="L4" s="42" t="s">
        <v>12</v>
      </c>
      <c r="M4" s="42" t="s">
        <v>13</v>
      </c>
      <c r="N4" s="42" t="s">
        <v>14</v>
      </c>
      <c r="O4" s="42" t="s">
        <v>4</v>
      </c>
      <c r="P4" s="42"/>
      <c r="Q4" s="46" t="s">
        <v>15</v>
      </c>
      <c r="R4" s="47" t="s">
        <v>16</v>
      </c>
      <c r="S4" s="42"/>
    </row>
    <row r="5" spans="1:19">
      <c r="A5" s="48" t="s">
        <v>17</v>
      </c>
      <c r="B5" s="49">
        <v>3500</v>
      </c>
      <c r="C5" s="49">
        <f>B5-D5</f>
        <v>600</v>
      </c>
      <c r="D5" s="49">
        <v>2900</v>
      </c>
      <c r="E5" s="113"/>
      <c r="F5" s="50">
        <f>IF(A2&gt;0,A2/2,"R$ 0,00")-B19-B20-B21-B22-B23-B24</f>
        <v>436.82999999999993</v>
      </c>
      <c r="G5" s="45"/>
      <c r="H5" s="43" t="s">
        <v>18</v>
      </c>
      <c r="I5" s="44">
        <v>134.07</v>
      </c>
      <c r="J5" s="45" t="s">
        <v>55</v>
      </c>
      <c r="K5" s="45"/>
      <c r="L5" s="42">
        <v>7</v>
      </c>
      <c r="M5" s="51">
        <v>113.89</v>
      </c>
      <c r="N5" s="52" t="s">
        <v>54</v>
      </c>
      <c r="O5" s="45" t="s">
        <v>55</v>
      </c>
      <c r="P5" s="53"/>
      <c r="Q5" s="54">
        <f>SUMIF(J:J,"ok",I:I)+SUMIF(O:O,"ok",M:M)</f>
        <v>6302.34</v>
      </c>
      <c r="R5" s="55">
        <f>P2+Q5</f>
        <v>62</v>
      </c>
      <c r="S5" s="45"/>
    </row>
    <row r="6" spans="1:19">
      <c r="A6" s="48" t="s">
        <v>20</v>
      </c>
      <c r="B6" s="49">
        <v>6174</v>
      </c>
      <c r="C6" s="49">
        <f>B6-D6</f>
        <v>1960</v>
      </c>
      <c r="D6" s="49">
        <v>4214</v>
      </c>
      <c r="E6" s="113"/>
      <c r="F6" s="50">
        <f>IF(A2&gt;0,A2/2,"R$ 0,00")</f>
        <v>436.82999999999993</v>
      </c>
      <c r="G6" s="45"/>
      <c r="H6" s="43" t="s">
        <v>21</v>
      </c>
      <c r="I6" s="44">
        <v>110.11</v>
      </c>
      <c r="J6" s="45" t="s">
        <v>55</v>
      </c>
      <c r="K6" s="45"/>
      <c r="L6" s="42">
        <v>9</v>
      </c>
      <c r="M6" s="51">
        <v>500</v>
      </c>
      <c r="N6" s="52" t="s">
        <v>56</v>
      </c>
      <c r="O6" s="45" t="s">
        <v>55</v>
      </c>
      <c r="P6" s="53"/>
      <c r="Q6" s="51"/>
      <c r="R6" s="52"/>
      <c r="S6" s="45"/>
    </row>
    <row r="7" spans="1:19">
      <c r="A7" s="48" t="s">
        <v>3</v>
      </c>
      <c r="B7" s="56"/>
      <c r="C7" s="56"/>
      <c r="D7" s="57"/>
      <c r="E7" s="49">
        <f>D5+D6+E5</f>
        <v>7114</v>
      </c>
      <c r="F7" s="58"/>
      <c r="G7" s="45"/>
      <c r="H7" s="43" t="s">
        <v>41</v>
      </c>
      <c r="I7" s="44">
        <v>700</v>
      </c>
      <c r="J7" s="45" t="s">
        <v>55</v>
      </c>
      <c r="K7" s="45"/>
      <c r="L7" s="42">
        <v>360</v>
      </c>
      <c r="M7" s="51">
        <v>2185</v>
      </c>
      <c r="N7" s="52" t="s">
        <v>57</v>
      </c>
      <c r="O7" s="45" t="s">
        <v>55</v>
      </c>
      <c r="P7" s="53"/>
      <c r="Q7" s="51"/>
      <c r="R7" s="52"/>
      <c r="S7" s="45"/>
    </row>
    <row r="8" spans="1:19">
      <c r="A8" s="48"/>
      <c r="B8" s="56"/>
      <c r="C8" s="56"/>
      <c r="D8" s="56"/>
      <c r="E8" s="49"/>
      <c r="F8" s="25"/>
      <c r="G8" s="45"/>
      <c r="H8" s="43" t="s">
        <v>46</v>
      </c>
      <c r="I8" s="44">
        <v>64.900000000000006</v>
      </c>
      <c r="J8" s="45" t="s">
        <v>55</v>
      </c>
      <c r="K8" s="45"/>
      <c r="L8" s="42"/>
      <c r="M8" s="51"/>
      <c r="N8" s="52"/>
      <c r="O8" s="53"/>
      <c r="P8" s="53"/>
      <c r="Q8" s="51"/>
      <c r="R8" s="52"/>
      <c r="S8" s="45"/>
    </row>
    <row r="9" spans="1:19">
      <c r="A9" s="25"/>
      <c r="B9" s="56"/>
      <c r="C9" s="56"/>
      <c r="D9" s="56"/>
      <c r="E9" s="56"/>
      <c r="F9" s="25"/>
      <c r="G9" s="45"/>
      <c r="H9" s="43" t="s">
        <v>44</v>
      </c>
      <c r="I9" s="44">
        <v>479.18</v>
      </c>
      <c r="J9" s="45" t="s">
        <v>55</v>
      </c>
      <c r="K9" s="45"/>
      <c r="L9" s="42"/>
      <c r="M9" s="51"/>
      <c r="N9" s="52"/>
      <c r="O9" s="53"/>
      <c r="P9" s="53"/>
      <c r="Q9" s="51"/>
      <c r="R9" s="52"/>
      <c r="S9" s="45"/>
    </row>
    <row r="10" spans="1:19">
      <c r="A10" s="25"/>
      <c r="B10" s="25"/>
      <c r="C10" s="25"/>
      <c r="D10" s="25"/>
      <c r="E10" s="25"/>
      <c r="F10" s="25"/>
      <c r="G10" s="45"/>
      <c r="H10" s="43" t="s">
        <v>33</v>
      </c>
      <c r="I10" s="44">
        <v>93.19</v>
      </c>
      <c r="J10" s="45" t="s">
        <v>55</v>
      </c>
      <c r="K10" s="45"/>
      <c r="L10" s="42"/>
      <c r="M10" s="51"/>
      <c r="N10" s="52"/>
      <c r="O10" s="53"/>
      <c r="P10" s="53"/>
      <c r="Q10" s="51"/>
      <c r="R10" s="52"/>
      <c r="S10" s="45"/>
    </row>
    <row r="11" spans="1:19">
      <c r="A11" s="114"/>
      <c r="B11" s="114"/>
      <c r="C11" s="25"/>
      <c r="D11" s="25"/>
      <c r="E11" s="25"/>
      <c r="F11" s="25"/>
      <c r="G11" s="45"/>
      <c r="H11" s="43" t="s">
        <v>38</v>
      </c>
      <c r="I11" s="44">
        <v>400</v>
      </c>
      <c r="J11" s="45" t="s">
        <v>55</v>
      </c>
      <c r="K11" s="45"/>
      <c r="L11" s="42"/>
      <c r="M11" s="51"/>
      <c r="N11" s="52"/>
      <c r="O11" s="53"/>
      <c r="P11" s="53"/>
      <c r="Q11" s="51"/>
      <c r="R11" s="52"/>
      <c r="S11" s="45"/>
    </row>
    <row r="12" spans="1:19">
      <c r="A12" s="25"/>
      <c r="B12" s="25"/>
      <c r="C12" s="25"/>
      <c r="D12" s="25"/>
      <c r="E12" s="25"/>
      <c r="F12" s="25"/>
      <c r="G12" s="45"/>
      <c r="H12" s="43" t="s">
        <v>47</v>
      </c>
      <c r="I12" s="44">
        <v>62</v>
      </c>
      <c r="J12" s="45" t="s">
        <v>55</v>
      </c>
      <c r="K12" s="45"/>
      <c r="L12" s="42"/>
      <c r="M12" s="51"/>
      <c r="N12" s="52"/>
      <c r="O12" s="53"/>
      <c r="P12" s="53"/>
      <c r="Q12" s="51"/>
      <c r="R12" s="52"/>
      <c r="S12" s="45"/>
    </row>
    <row r="13" spans="1:19">
      <c r="A13" s="25"/>
      <c r="B13" s="25"/>
      <c r="C13" s="25"/>
      <c r="D13" s="25"/>
      <c r="E13" s="25"/>
      <c r="F13" s="25"/>
      <c r="G13" s="45"/>
      <c r="H13" s="43"/>
      <c r="I13" s="44"/>
      <c r="J13" s="45"/>
      <c r="K13" s="45"/>
      <c r="L13" s="53"/>
      <c r="M13" s="51"/>
      <c r="N13" s="52"/>
      <c r="O13" s="53"/>
      <c r="P13" s="53"/>
      <c r="Q13" s="51"/>
      <c r="R13" s="52"/>
      <c r="S13" s="45"/>
    </row>
    <row r="14" spans="1:19">
      <c r="A14" s="25"/>
      <c r="B14" s="25"/>
      <c r="C14" s="25"/>
      <c r="D14" s="25"/>
      <c r="E14" s="56"/>
      <c r="F14" s="25"/>
      <c r="G14" s="45"/>
      <c r="H14" s="43"/>
      <c r="I14" s="44"/>
      <c r="J14" s="45"/>
      <c r="K14" s="45"/>
      <c r="L14" s="42" t="s">
        <v>3</v>
      </c>
      <c r="M14" s="55">
        <f>((M5*L5)+(M6*L6)+(M7*L7)+(M8*L8)+(M9*L9)+(M10*L10)+(M11+L11)+(M12+L12))*-1</f>
        <v>-791897.23</v>
      </c>
      <c r="N14" s="52"/>
      <c r="O14" s="53"/>
      <c r="P14" s="53"/>
      <c r="Q14" s="51"/>
      <c r="R14" s="52"/>
      <c r="S14" s="45"/>
    </row>
    <row r="15" spans="1:19">
      <c r="A15" s="25"/>
      <c r="B15" s="25"/>
      <c r="C15" s="25"/>
      <c r="D15" s="25"/>
      <c r="E15" s="56"/>
      <c r="F15" s="25"/>
      <c r="G15" s="45"/>
      <c r="H15" s="43"/>
      <c r="I15" s="44"/>
      <c r="J15" s="45"/>
      <c r="K15" s="45"/>
      <c r="L15" s="53"/>
      <c r="M15" s="51"/>
      <c r="N15" s="52"/>
      <c r="O15" s="53"/>
      <c r="P15" s="53"/>
      <c r="Q15" s="51"/>
      <c r="R15" s="52"/>
      <c r="S15" s="45"/>
    </row>
    <row r="16" spans="1:19">
      <c r="A16" s="25"/>
      <c r="B16" s="25"/>
      <c r="C16" s="25"/>
      <c r="D16" s="25"/>
      <c r="E16" s="56"/>
      <c r="F16" s="25"/>
      <c r="G16" s="45"/>
      <c r="H16" s="43"/>
      <c r="I16" s="44"/>
      <c r="J16" s="45"/>
      <c r="K16" s="45"/>
      <c r="L16" s="53"/>
      <c r="M16" s="51"/>
      <c r="N16" s="52"/>
      <c r="O16" s="53"/>
      <c r="P16" s="53"/>
      <c r="Q16" s="51"/>
      <c r="R16" s="52"/>
      <c r="S16" s="45"/>
    </row>
    <row r="17" spans="1:19" ht="30.75" customHeight="1">
      <c r="A17" s="112"/>
      <c r="B17" s="112"/>
      <c r="C17" s="112"/>
      <c r="D17" s="112"/>
      <c r="E17" s="56"/>
      <c r="F17" s="25"/>
      <c r="G17" s="45"/>
      <c r="H17" s="43"/>
      <c r="I17" s="44"/>
      <c r="J17" s="45"/>
      <c r="K17" s="45"/>
      <c r="L17" s="111"/>
      <c r="M17" s="111"/>
      <c r="N17" s="111"/>
      <c r="O17" s="111"/>
      <c r="P17" s="53"/>
      <c r="Q17" s="51"/>
      <c r="R17" s="52"/>
      <c r="S17" s="45"/>
    </row>
    <row r="18" spans="1:19">
      <c r="A18" s="42"/>
      <c r="B18" s="42"/>
      <c r="C18" s="42"/>
      <c r="D18" s="42"/>
      <c r="E18" s="56"/>
      <c r="F18" s="25"/>
      <c r="G18" s="45"/>
      <c r="H18" s="43"/>
      <c r="I18" s="44"/>
      <c r="J18" s="45"/>
      <c r="K18" s="45"/>
      <c r="L18" s="42"/>
      <c r="M18" s="42"/>
      <c r="N18" s="42"/>
      <c r="O18" s="42"/>
      <c r="P18" s="53"/>
      <c r="Q18" s="51"/>
      <c r="R18" s="52"/>
      <c r="S18" s="45"/>
    </row>
    <row r="19" spans="1:19">
      <c r="A19" s="42"/>
      <c r="B19" s="51"/>
      <c r="C19" s="52"/>
      <c r="D19" s="53"/>
      <c r="E19" s="56"/>
      <c r="F19" s="25"/>
      <c r="G19" s="45"/>
      <c r="H19" s="43"/>
      <c r="I19" s="44"/>
      <c r="J19" s="45"/>
      <c r="K19" s="45"/>
      <c r="L19" s="42"/>
      <c r="M19" s="51"/>
      <c r="N19" s="52"/>
      <c r="O19" s="53"/>
      <c r="P19" s="53"/>
      <c r="Q19" s="51"/>
      <c r="R19" s="52"/>
      <c r="S19" s="45"/>
    </row>
    <row r="20" spans="1:19">
      <c r="A20" s="42"/>
      <c r="B20" s="51"/>
      <c r="C20" s="52"/>
      <c r="D20" s="53"/>
      <c r="E20" s="56"/>
      <c r="F20" s="25"/>
      <c r="G20" s="45"/>
      <c r="H20" s="43"/>
      <c r="I20" s="44"/>
      <c r="J20" s="45"/>
      <c r="K20" s="45"/>
      <c r="L20" s="42"/>
      <c r="M20" s="51"/>
      <c r="N20" s="52"/>
      <c r="O20" s="53"/>
      <c r="P20" s="53"/>
      <c r="Q20" s="51"/>
      <c r="R20" s="52"/>
      <c r="S20" s="45"/>
    </row>
    <row r="21" spans="1:19">
      <c r="A21" s="42"/>
      <c r="B21" s="51"/>
      <c r="C21" s="52"/>
      <c r="D21" s="53"/>
      <c r="E21" s="56"/>
      <c r="F21" s="25"/>
      <c r="G21" s="45"/>
      <c r="H21" s="43"/>
      <c r="I21" s="44"/>
      <c r="J21" s="45"/>
      <c r="K21" s="45"/>
      <c r="L21" s="42"/>
      <c r="M21" s="51"/>
      <c r="N21" s="52"/>
      <c r="O21" s="53"/>
      <c r="P21" s="53"/>
      <c r="Q21" s="51"/>
      <c r="R21" s="52"/>
      <c r="S21" s="45"/>
    </row>
    <row r="22" spans="1:19">
      <c r="A22" s="42"/>
      <c r="B22" s="51"/>
      <c r="C22" s="52"/>
      <c r="D22" s="25"/>
      <c r="E22" s="25"/>
      <c r="F22" s="25"/>
      <c r="G22" s="45"/>
      <c r="H22" s="43"/>
      <c r="I22" s="44"/>
      <c r="J22" s="45"/>
      <c r="K22" s="45"/>
      <c r="L22" s="42"/>
      <c r="M22" s="51"/>
      <c r="N22" s="52"/>
      <c r="O22" s="53"/>
      <c r="P22" s="53"/>
      <c r="Q22" s="51"/>
      <c r="R22" s="52"/>
      <c r="S22" s="45"/>
    </row>
    <row r="23" spans="1:19">
      <c r="A23" s="42"/>
      <c r="B23" s="25"/>
      <c r="C23" s="25"/>
      <c r="D23" s="25"/>
      <c r="E23" s="25"/>
      <c r="F23" s="25"/>
      <c r="G23" s="45"/>
      <c r="H23" s="43"/>
      <c r="I23" s="44"/>
      <c r="J23" s="45"/>
      <c r="K23" s="45"/>
      <c r="L23" s="42"/>
      <c r="M23" s="51"/>
      <c r="N23" s="52"/>
      <c r="O23" s="53"/>
      <c r="P23" s="53"/>
      <c r="Q23" s="51"/>
      <c r="R23" s="52"/>
      <c r="S23" s="45"/>
    </row>
    <row r="24" spans="1:19">
      <c r="A24" s="42"/>
      <c r="B24" s="25"/>
      <c r="C24" s="25"/>
      <c r="D24" s="25"/>
      <c r="E24" s="25"/>
      <c r="F24" s="25"/>
      <c r="G24" s="45"/>
      <c r="H24" s="43"/>
      <c r="I24" s="44"/>
      <c r="J24" s="45"/>
      <c r="K24" s="45"/>
      <c r="L24" s="42"/>
      <c r="M24" s="51"/>
      <c r="N24" s="52"/>
      <c r="O24" s="59"/>
      <c r="P24" s="53"/>
      <c r="Q24" s="51"/>
      <c r="R24" s="52"/>
      <c r="S24" s="45"/>
    </row>
    <row r="25" spans="1:19">
      <c r="A25" s="42"/>
      <c r="B25" s="25"/>
      <c r="C25" s="25"/>
      <c r="D25" s="25"/>
      <c r="E25" s="25"/>
      <c r="F25" s="25"/>
      <c r="G25" s="45"/>
      <c r="H25" s="43"/>
      <c r="I25" s="44"/>
      <c r="J25" s="45"/>
      <c r="K25" s="45"/>
      <c r="L25" s="42"/>
      <c r="M25" s="51"/>
      <c r="N25" s="52"/>
      <c r="O25" s="53"/>
      <c r="P25" s="53"/>
      <c r="Q25" s="51"/>
      <c r="R25" s="52"/>
      <c r="S25" s="45"/>
    </row>
    <row r="26" spans="1:19">
      <c r="A26" s="42"/>
      <c r="B26" s="25"/>
      <c r="C26" s="25"/>
      <c r="D26" s="25"/>
      <c r="E26" s="25"/>
      <c r="F26" s="25"/>
      <c r="G26" s="45"/>
      <c r="H26" s="43"/>
      <c r="I26" s="44"/>
      <c r="J26" s="45"/>
      <c r="K26" s="45"/>
      <c r="L26" s="42"/>
      <c r="M26" s="51"/>
      <c r="N26" s="52"/>
      <c r="O26" s="59"/>
      <c r="P26" s="53"/>
      <c r="Q26" s="51"/>
      <c r="R26" s="52"/>
      <c r="S26" s="45"/>
    </row>
    <row r="27" spans="1:19">
      <c r="A27" s="58"/>
      <c r="B27" s="55"/>
      <c r="C27" s="25"/>
      <c r="D27" s="25"/>
      <c r="E27" s="25"/>
      <c r="F27" s="25"/>
      <c r="G27" s="45"/>
      <c r="H27" s="43"/>
      <c r="I27" s="44"/>
      <c r="J27" s="45"/>
      <c r="K27" s="45"/>
      <c r="L27" s="42"/>
      <c r="M27" s="51"/>
      <c r="N27" s="52"/>
      <c r="O27" s="53"/>
      <c r="P27" s="53"/>
      <c r="Q27" s="51"/>
      <c r="R27" s="52"/>
      <c r="S27" s="45"/>
    </row>
    <row r="28" spans="1:19">
      <c r="A28" s="58"/>
      <c r="B28" s="55"/>
      <c r="C28" s="25"/>
      <c r="D28" s="25"/>
      <c r="E28" s="25"/>
      <c r="F28" s="25"/>
      <c r="G28" s="45"/>
      <c r="H28" s="43"/>
      <c r="I28" s="44"/>
      <c r="J28" s="45"/>
      <c r="K28" s="45"/>
      <c r="L28" s="42"/>
      <c r="M28" s="51"/>
      <c r="N28" s="52"/>
      <c r="O28" s="53"/>
      <c r="P28" s="53"/>
      <c r="Q28" s="51"/>
      <c r="R28" s="52"/>
      <c r="S28" s="45"/>
    </row>
    <row r="29" spans="1:19">
      <c r="A29" s="45"/>
      <c r="B29" s="25"/>
      <c r="C29" s="45"/>
      <c r="D29" s="45"/>
      <c r="E29" s="45"/>
      <c r="F29" s="45"/>
      <c r="G29" s="45"/>
      <c r="H29" s="43"/>
      <c r="I29" s="44"/>
      <c r="J29" s="45"/>
      <c r="K29" s="45"/>
      <c r="L29" s="42"/>
      <c r="M29" s="51"/>
      <c r="N29" s="52"/>
      <c r="O29" s="53"/>
      <c r="P29" s="53"/>
      <c r="Q29" s="51"/>
      <c r="R29" s="52"/>
      <c r="S29" s="45"/>
    </row>
    <row r="30" spans="1:19">
      <c r="A30" s="45"/>
      <c r="B30" s="25"/>
      <c r="C30" s="45"/>
      <c r="D30" s="45"/>
      <c r="E30" s="45"/>
      <c r="F30" s="45"/>
      <c r="G30" s="45"/>
      <c r="H30" s="43"/>
      <c r="I30" s="44"/>
      <c r="J30" s="45"/>
      <c r="K30" s="45"/>
      <c r="L30" s="42"/>
      <c r="M30" s="51"/>
      <c r="N30" s="52"/>
      <c r="O30" s="53"/>
      <c r="P30" s="53"/>
      <c r="Q30" s="51"/>
      <c r="R30" s="52"/>
      <c r="S30" s="45"/>
    </row>
    <row r="31" spans="1:19">
      <c r="A31" s="45"/>
      <c r="B31" s="25"/>
      <c r="C31" s="45"/>
      <c r="D31" s="45"/>
      <c r="E31" s="45"/>
      <c r="F31" s="45"/>
      <c r="G31" s="45"/>
      <c r="H31" s="43"/>
      <c r="I31" s="44"/>
      <c r="J31" s="45"/>
      <c r="K31" s="45"/>
      <c r="L31" s="42"/>
      <c r="M31" s="51"/>
      <c r="N31" s="52"/>
      <c r="O31" s="53"/>
      <c r="P31" s="53"/>
      <c r="Q31" s="51"/>
      <c r="R31" s="52"/>
      <c r="S31" s="45"/>
    </row>
    <row r="32" spans="1:19">
      <c r="A32" s="45"/>
      <c r="B32" s="25"/>
      <c r="C32" s="45"/>
      <c r="D32" s="45"/>
      <c r="E32" s="45"/>
      <c r="F32" s="45"/>
      <c r="G32" s="45"/>
      <c r="H32" s="43"/>
      <c r="I32" s="44"/>
      <c r="J32" s="45"/>
      <c r="K32" s="45"/>
      <c r="L32" s="53"/>
      <c r="M32" s="51"/>
      <c r="N32" s="52"/>
      <c r="O32" s="53"/>
      <c r="P32" s="53"/>
      <c r="Q32" s="51"/>
      <c r="R32" s="52"/>
      <c r="S32" s="45"/>
    </row>
    <row r="33" spans="1:19">
      <c r="A33" s="45"/>
      <c r="B33" s="25"/>
      <c r="C33" s="45"/>
      <c r="D33" s="45"/>
      <c r="E33" s="45"/>
      <c r="F33" s="45"/>
      <c r="G33" s="45"/>
      <c r="H33" s="43"/>
      <c r="I33" s="44"/>
      <c r="J33" s="45"/>
      <c r="K33" s="45"/>
      <c r="L33" s="53"/>
      <c r="M33" s="51"/>
      <c r="N33" s="52"/>
      <c r="O33" s="53"/>
      <c r="P33" s="53"/>
      <c r="Q33" s="51"/>
      <c r="R33" s="52"/>
      <c r="S33" s="45"/>
    </row>
    <row r="34" spans="1:19">
      <c r="A34" s="45"/>
      <c r="B34" s="25"/>
      <c r="C34" s="45"/>
      <c r="D34" s="45"/>
      <c r="E34" s="45"/>
      <c r="F34" s="45"/>
      <c r="G34" s="45"/>
      <c r="H34" s="43"/>
      <c r="I34" s="44"/>
      <c r="J34" s="45"/>
      <c r="K34" s="45"/>
      <c r="L34" s="53"/>
      <c r="M34" s="51"/>
      <c r="N34" s="52"/>
      <c r="O34" s="53"/>
      <c r="P34" s="53"/>
      <c r="Q34" s="51"/>
      <c r="R34" s="52"/>
      <c r="S34" s="45"/>
    </row>
    <row r="35" spans="1:19">
      <c r="A35" s="45"/>
      <c r="B35" s="25"/>
      <c r="C35" s="45"/>
      <c r="D35" s="45"/>
      <c r="E35" s="45"/>
      <c r="F35" s="45"/>
      <c r="G35" s="45"/>
      <c r="H35" s="43"/>
      <c r="I35" s="44"/>
      <c r="J35" s="45"/>
      <c r="K35" s="45"/>
      <c r="L35" s="53"/>
      <c r="M35" s="51"/>
      <c r="N35" s="52"/>
      <c r="O35" s="53"/>
      <c r="P35" s="53"/>
      <c r="Q35" s="51"/>
      <c r="R35" s="52"/>
      <c r="S35" s="45"/>
    </row>
    <row r="36" spans="1:19">
      <c r="A36" s="45"/>
      <c r="B36" s="25"/>
      <c r="C36" s="45"/>
      <c r="D36" s="45"/>
      <c r="E36" s="45"/>
      <c r="F36" s="45"/>
      <c r="G36" s="45"/>
      <c r="H36" s="43"/>
      <c r="I36" s="44"/>
      <c r="J36" s="45"/>
      <c r="K36" s="45"/>
      <c r="L36" s="53"/>
      <c r="M36" s="51"/>
      <c r="N36" s="52"/>
      <c r="O36" s="53"/>
      <c r="P36" s="53"/>
      <c r="Q36" s="51"/>
      <c r="R36" s="52"/>
      <c r="S36" s="45"/>
    </row>
    <row r="37" spans="1:19">
      <c r="A37" s="45"/>
      <c r="B37" s="25"/>
      <c r="C37" s="45"/>
      <c r="D37" s="45"/>
      <c r="E37" s="45"/>
      <c r="F37" s="45"/>
      <c r="G37" s="45"/>
      <c r="H37" s="43"/>
      <c r="I37" s="44"/>
      <c r="J37" s="45"/>
      <c r="K37" s="45"/>
      <c r="L37" s="53"/>
      <c r="M37" s="51"/>
      <c r="N37" s="52"/>
      <c r="O37" s="53"/>
      <c r="P37" s="53"/>
      <c r="Q37" s="51"/>
      <c r="R37" s="52"/>
      <c r="S37" s="45"/>
    </row>
    <row r="38" spans="1:19">
      <c r="A38" s="45"/>
      <c r="B38" s="25"/>
      <c r="C38" s="45"/>
      <c r="D38" s="45"/>
      <c r="E38" s="45"/>
      <c r="F38" s="45"/>
      <c r="G38" s="45"/>
      <c r="H38" s="43"/>
      <c r="I38" s="44"/>
      <c r="J38" s="45"/>
      <c r="K38" s="45"/>
      <c r="L38" s="53"/>
      <c r="M38" s="51"/>
      <c r="N38" s="52"/>
      <c r="O38" s="53"/>
      <c r="P38" s="53"/>
      <c r="Q38" s="51"/>
      <c r="R38" s="52"/>
      <c r="S38" s="45"/>
    </row>
    <row r="39" spans="1:19">
      <c r="A39" s="45"/>
      <c r="B39" s="25"/>
      <c r="C39" s="45"/>
      <c r="D39" s="45"/>
      <c r="E39" s="45"/>
      <c r="F39" s="45"/>
      <c r="G39" s="45"/>
      <c r="H39" s="43"/>
      <c r="I39" s="44"/>
      <c r="J39" s="45"/>
      <c r="K39" s="45"/>
      <c r="L39" s="53"/>
      <c r="M39" s="51"/>
      <c r="N39" s="52"/>
      <c r="O39" s="53"/>
      <c r="P39" s="53"/>
      <c r="Q39" s="51"/>
      <c r="R39" s="52"/>
      <c r="S39" s="45"/>
    </row>
    <row r="40" spans="1:19">
      <c r="A40" s="45"/>
      <c r="B40" s="25"/>
      <c r="C40" s="45"/>
      <c r="D40" s="45"/>
      <c r="E40" s="45"/>
      <c r="F40" s="45"/>
      <c r="G40" s="45"/>
      <c r="H40" s="43"/>
      <c r="I40" s="44"/>
      <c r="J40" s="45"/>
      <c r="K40" s="45"/>
      <c r="L40" s="53"/>
      <c r="M40" s="51"/>
      <c r="N40" s="52"/>
      <c r="O40" s="53"/>
      <c r="P40" s="53"/>
      <c r="Q40" s="51"/>
      <c r="R40" s="52"/>
      <c r="S40" s="45"/>
    </row>
    <row r="41" spans="1:19">
      <c r="A41" s="45"/>
      <c r="B41" s="25"/>
      <c r="C41" s="45"/>
      <c r="D41" s="45"/>
      <c r="E41" s="45"/>
      <c r="F41" s="45"/>
      <c r="G41" s="45"/>
      <c r="H41" s="43"/>
      <c r="I41" s="44"/>
      <c r="J41" s="45"/>
      <c r="K41" s="45"/>
      <c r="L41" s="53"/>
      <c r="M41" s="51"/>
      <c r="N41" s="52"/>
      <c r="O41" s="53"/>
      <c r="P41" s="53"/>
      <c r="Q41" s="51"/>
      <c r="R41" s="52"/>
      <c r="S41" s="45"/>
    </row>
  </sheetData>
  <mergeCells count="12">
    <mergeCell ref="P1:R1"/>
    <mergeCell ref="A2:E2"/>
    <mergeCell ref="H2:I2"/>
    <mergeCell ref="L2:N2"/>
    <mergeCell ref="P2:R2"/>
    <mergeCell ref="E5:E6"/>
    <mergeCell ref="A11:B11"/>
    <mergeCell ref="A17:D17"/>
    <mergeCell ref="L17:O17"/>
    <mergeCell ref="A1:E1"/>
    <mergeCell ref="H1:I1"/>
    <mergeCell ref="L1:N1"/>
  </mergeCells>
  <conditionalFormatting sqref="A2:F3">
    <cfRule type="cellIs" dxfId="4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4B28A-4D46-4E56-971A-DAE96AADA01E}">
  <dimension ref="A1:S41"/>
  <sheetViews>
    <sheetView showGridLines="0" zoomScaleNormal="100" workbookViewId="0">
      <selection activeCell="I33" sqref="I33"/>
    </sheetView>
  </sheetViews>
  <sheetFormatPr defaultColWidth="13.28515625" defaultRowHeight="15"/>
  <cols>
    <col min="1" max="1" width="15.28515625" style="38" bestFit="1" customWidth="1"/>
    <col min="2" max="2" width="13.85546875" style="38" customWidth="1"/>
    <col min="3" max="3" width="15" style="38" bestFit="1" customWidth="1"/>
    <col min="4" max="4" width="15.85546875" style="38" customWidth="1"/>
    <col min="5" max="5" width="17.5703125" style="38" bestFit="1" customWidth="1"/>
    <col min="6" max="6" width="17.5703125" style="38" customWidth="1"/>
    <col min="7" max="7" width="13.28515625" style="38" customWidth="1"/>
    <col min="8" max="8" width="21.42578125" style="38" bestFit="1" customWidth="1"/>
    <col min="9" max="9" width="12" style="38" bestFit="1" customWidth="1"/>
    <col min="10" max="12" width="9.140625" style="38" bestFit="1" customWidth="1"/>
    <col min="13" max="13" width="15.28515625" style="38" bestFit="1" customWidth="1"/>
    <col min="14" max="14" width="23.28515625" style="38" bestFit="1" customWidth="1"/>
    <col min="15" max="16384" width="13.28515625" style="38"/>
  </cols>
  <sheetData>
    <row r="1" spans="1:19" ht="33" customHeight="1">
      <c r="A1" s="98" t="s">
        <v>0</v>
      </c>
      <c r="B1" s="98"/>
      <c r="C1" s="98"/>
      <c r="D1" s="98"/>
      <c r="E1" s="98"/>
      <c r="F1" s="88"/>
      <c r="G1" s="39"/>
      <c r="H1" s="98" t="s">
        <v>1</v>
      </c>
      <c r="I1" s="98"/>
      <c r="J1" s="39"/>
      <c r="K1" s="39"/>
      <c r="L1" s="98" t="s">
        <v>2</v>
      </c>
      <c r="M1" s="98"/>
      <c r="N1" s="98"/>
      <c r="O1" s="39"/>
      <c r="P1" s="98" t="s">
        <v>3</v>
      </c>
      <c r="Q1" s="98"/>
      <c r="R1" s="98"/>
      <c r="S1" s="39"/>
    </row>
    <row r="2" spans="1:19" ht="18">
      <c r="A2" s="99">
        <f>E7+P2</f>
        <v>5165.51</v>
      </c>
      <c r="B2" s="99"/>
      <c r="C2" s="99"/>
      <c r="D2" s="99"/>
      <c r="E2" s="99"/>
      <c r="F2" s="89"/>
      <c r="G2" s="40"/>
      <c r="H2" s="100">
        <f>SUM(I4:I11)*-1</f>
        <v>-3435.77</v>
      </c>
      <c r="I2" s="100"/>
      <c r="J2" s="40"/>
      <c r="K2" s="40"/>
      <c r="L2" s="101">
        <f>SUM(M5:M12)*-1</f>
        <v>-4731.9799999999996</v>
      </c>
      <c r="M2" s="101"/>
      <c r="N2" s="101"/>
      <c r="O2" s="41"/>
      <c r="P2" s="102">
        <f>SUM(H2:N2)</f>
        <v>-8167.75</v>
      </c>
      <c r="Q2" s="102"/>
      <c r="R2" s="102"/>
      <c r="S2" s="40"/>
    </row>
    <row r="3" spans="1:19" ht="16.5" customHeight="1">
      <c r="A3" s="89"/>
      <c r="B3" s="89"/>
      <c r="C3" s="89"/>
      <c r="D3" s="89"/>
      <c r="E3" s="89"/>
      <c r="F3" s="89"/>
      <c r="G3" s="40"/>
      <c r="H3" s="90"/>
      <c r="I3" s="90"/>
      <c r="J3" s="42" t="s">
        <v>4</v>
      </c>
      <c r="K3" s="40"/>
      <c r="L3" s="91"/>
      <c r="M3" s="91"/>
      <c r="N3" s="91"/>
      <c r="O3" s="92"/>
      <c r="P3" s="92"/>
      <c r="Q3" s="92"/>
      <c r="R3" s="92"/>
      <c r="S3" s="40"/>
    </row>
    <row r="4" spans="1:19">
      <c r="A4" s="42"/>
      <c r="B4" s="42" t="s">
        <v>5</v>
      </c>
      <c r="C4" s="42" t="s">
        <v>6</v>
      </c>
      <c r="D4" s="42" t="s">
        <v>7</v>
      </c>
      <c r="E4" s="42" t="s">
        <v>8</v>
      </c>
      <c r="F4" s="42" t="s">
        <v>9</v>
      </c>
      <c r="G4" s="42"/>
      <c r="H4" s="43" t="s">
        <v>10</v>
      </c>
      <c r="I4" s="44">
        <v>1460</v>
      </c>
      <c r="J4" s="45" t="s">
        <v>11</v>
      </c>
      <c r="K4" s="42"/>
      <c r="L4" s="42" t="s">
        <v>12</v>
      </c>
      <c r="M4" s="42" t="s">
        <v>13</v>
      </c>
      <c r="N4" s="42" t="s">
        <v>14</v>
      </c>
      <c r="O4" s="42" t="s">
        <v>4</v>
      </c>
      <c r="P4" s="42"/>
      <c r="Q4" s="46" t="s">
        <v>15</v>
      </c>
      <c r="R4" s="47" t="s">
        <v>16</v>
      </c>
      <c r="S4" s="42"/>
    </row>
    <row r="5" spans="1:19">
      <c r="A5" s="48" t="s">
        <v>17</v>
      </c>
      <c r="B5" s="49">
        <v>4000</v>
      </c>
      <c r="C5" s="49">
        <f>B5-D5</f>
        <v>555</v>
      </c>
      <c r="D5" s="49">
        <v>3445</v>
      </c>
      <c r="E5" s="113">
        <f>4107.69+1168.05</f>
        <v>5275.74</v>
      </c>
      <c r="F5" s="50">
        <f>IF(A2&gt;0,A2/2,"R$ 0,00")-B19-B20-B21-B22-B23-B24</f>
        <v>2582.7550000000001</v>
      </c>
      <c r="G5" s="45"/>
      <c r="H5" s="43" t="s">
        <v>18</v>
      </c>
      <c r="I5" s="44">
        <v>134.22999999999999</v>
      </c>
      <c r="J5" s="45" t="s">
        <v>11</v>
      </c>
      <c r="K5" s="45"/>
      <c r="L5" s="42">
        <v>6</v>
      </c>
      <c r="M5" s="51">
        <v>157.88999999999999</v>
      </c>
      <c r="N5" s="52" t="s">
        <v>54</v>
      </c>
      <c r="O5" s="45" t="s">
        <v>11</v>
      </c>
      <c r="P5" s="53"/>
      <c r="Q5" s="54">
        <f>SUMIF(J:J,"ok",I:I)+SUMIF(O:O,"ok",M:M)</f>
        <v>8229.75</v>
      </c>
      <c r="R5" s="55">
        <f>P2+Q5</f>
        <v>62</v>
      </c>
      <c r="S5" s="45"/>
    </row>
    <row r="6" spans="1:19">
      <c r="A6" s="48" t="s">
        <v>20</v>
      </c>
      <c r="B6" s="49">
        <v>6174.52</v>
      </c>
      <c r="C6" s="49">
        <f>B6-D6</f>
        <v>1562</v>
      </c>
      <c r="D6" s="49">
        <v>4612.5200000000004</v>
      </c>
      <c r="E6" s="113"/>
      <c r="F6" s="50">
        <f>IF(A2&gt;0,A2/2,"R$ 0,00")</f>
        <v>2582.7550000000001</v>
      </c>
      <c r="G6" s="45"/>
      <c r="H6" s="43" t="s">
        <v>21</v>
      </c>
      <c r="I6" s="44">
        <v>126.54</v>
      </c>
      <c r="J6" s="45" t="s">
        <v>11</v>
      </c>
      <c r="K6" s="45"/>
      <c r="L6" s="42">
        <v>8</v>
      </c>
      <c r="M6" s="51">
        <v>500</v>
      </c>
      <c r="N6" s="52" t="s">
        <v>56</v>
      </c>
      <c r="O6" s="45" t="s">
        <v>11</v>
      </c>
      <c r="P6" s="53"/>
      <c r="Q6" s="51"/>
      <c r="R6" s="52"/>
      <c r="S6" s="45"/>
    </row>
    <row r="7" spans="1:19">
      <c r="A7" s="48" t="s">
        <v>3</v>
      </c>
      <c r="B7" s="56"/>
      <c r="C7" s="56"/>
      <c r="D7" s="57"/>
      <c r="E7" s="49">
        <f>D5+D6+E5</f>
        <v>13333.26</v>
      </c>
      <c r="F7" s="58"/>
      <c r="G7" s="45"/>
      <c r="H7" s="43" t="s">
        <v>41</v>
      </c>
      <c r="I7" s="44">
        <v>700</v>
      </c>
      <c r="J7" s="45" t="s">
        <v>11</v>
      </c>
      <c r="K7" s="45"/>
      <c r="L7" s="42">
        <v>360</v>
      </c>
      <c r="M7" s="51">
        <v>2185</v>
      </c>
      <c r="N7" s="52" t="s">
        <v>57</v>
      </c>
      <c r="O7" s="45" t="s">
        <v>11</v>
      </c>
      <c r="P7" s="53"/>
      <c r="Q7" s="51"/>
      <c r="R7" s="52"/>
      <c r="S7" s="45"/>
    </row>
    <row r="8" spans="1:19">
      <c r="A8" s="48"/>
      <c r="B8" s="56"/>
      <c r="C8" s="56"/>
      <c r="D8" s="56"/>
      <c r="E8" s="49"/>
      <c r="F8" s="25"/>
      <c r="G8" s="45"/>
      <c r="H8" s="43" t="s">
        <v>46</v>
      </c>
      <c r="I8" s="44">
        <v>64.900000000000006</v>
      </c>
      <c r="J8" s="45" t="s">
        <v>11</v>
      </c>
      <c r="K8" s="45"/>
      <c r="L8" s="42">
        <v>1</v>
      </c>
      <c r="M8" s="51">
        <v>357.01</v>
      </c>
      <c r="N8" s="52" t="s">
        <v>49</v>
      </c>
      <c r="O8" s="53" t="s">
        <v>11</v>
      </c>
      <c r="P8" s="53"/>
      <c r="Q8" s="51"/>
      <c r="R8" s="52"/>
      <c r="S8" s="45"/>
    </row>
    <row r="9" spans="1:19">
      <c r="A9" s="25"/>
      <c r="B9" s="56"/>
      <c r="C9" s="56"/>
      <c r="D9" s="56"/>
      <c r="E9" s="56"/>
      <c r="F9" s="25"/>
      <c r="G9" s="45"/>
      <c r="H9" s="43" t="s">
        <v>44</v>
      </c>
      <c r="I9" s="44">
        <v>465.12</v>
      </c>
      <c r="J9" s="45" t="s">
        <v>11</v>
      </c>
      <c r="K9" s="45"/>
      <c r="L9" s="42">
        <v>1</v>
      </c>
      <c r="M9" s="51">
        <f>221.18+310.9</f>
        <v>532.07999999999993</v>
      </c>
      <c r="N9" s="52" t="s">
        <v>58</v>
      </c>
      <c r="O9" s="53" t="s">
        <v>11</v>
      </c>
      <c r="P9" s="53"/>
      <c r="Q9" s="51"/>
      <c r="R9" s="52"/>
      <c r="S9" s="45"/>
    </row>
    <row r="10" spans="1:19">
      <c r="A10" s="25"/>
      <c r="B10" s="25"/>
      <c r="C10" s="25"/>
      <c r="D10" s="25"/>
      <c r="E10" s="25"/>
      <c r="F10" s="25"/>
      <c r="G10" s="45"/>
      <c r="H10" s="43" t="s">
        <v>33</v>
      </c>
      <c r="I10" s="44">
        <v>84.98</v>
      </c>
      <c r="J10" s="45" t="s">
        <v>11</v>
      </c>
      <c r="K10" s="45"/>
      <c r="L10" s="42">
        <v>1</v>
      </c>
      <c r="M10" s="51">
        <v>500</v>
      </c>
      <c r="N10" s="52" t="s">
        <v>59</v>
      </c>
      <c r="O10" s="53" t="s">
        <v>11</v>
      </c>
      <c r="P10" s="53"/>
      <c r="Q10" s="51"/>
      <c r="R10" s="52"/>
      <c r="S10" s="45"/>
    </row>
    <row r="11" spans="1:19">
      <c r="A11" s="60"/>
      <c r="B11" s="93"/>
      <c r="C11" s="25"/>
      <c r="D11" s="25"/>
      <c r="E11" s="25"/>
      <c r="F11" s="25"/>
      <c r="G11" s="45"/>
      <c r="H11" s="43" t="s">
        <v>38</v>
      </c>
      <c r="I11" s="44">
        <v>400</v>
      </c>
      <c r="J11" s="45" t="s">
        <v>11</v>
      </c>
      <c r="K11" s="45"/>
      <c r="L11" s="42">
        <v>1</v>
      </c>
      <c r="M11" s="51">
        <v>500</v>
      </c>
      <c r="N11" s="52" t="s">
        <v>60</v>
      </c>
      <c r="O11" s="53" t="s">
        <v>11</v>
      </c>
      <c r="P11" s="53"/>
      <c r="Q11" s="51"/>
      <c r="R11" s="52"/>
      <c r="S11" s="45"/>
    </row>
    <row r="12" spans="1:19">
      <c r="A12" s="25"/>
      <c r="B12" s="25"/>
      <c r="C12" s="25"/>
      <c r="D12" s="25"/>
      <c r="E12" s="25"/>
      <c r="F12" s="25"/>
      <c r="G12" s="45"/>
      <c r="H12" s="43" t="s">
        <v>47</v>
      </c>
      <c r="I12" s="44">
        <v>62</v>
      </c>
      <c r="J12" s="45" t="s">
        <v>11</v>
      </c>
      <c r="K12" s="45"/>
      <c r="L12" s="42"/>
      <c r="M12" s="51"/>
      <c r="N12" s="52"/>
      <c r="O12" s="53"/>
      <c r="P12" s="53"/>
      <c r="Q12" s="51"/>
      <c r="R12" s="52"/>
      <c r="S12" s="45"/>
    </row>
    <row r="13" spans="1:19">
      <c r="A13" s="25"/>
      <c r="B13" s="25"/>
      <c r="C13" s="25"/>
      <c r="D13" s="25"/>
      <c r="E13" s="25"/>
      <c r="F13" s="25"/>
      <c r="G13" s="45"/>
      <c r="H13" s="43"/>
      <c r="I13" s="44"/>
      <c r="J13" s="45"/>
      <c r="K13" s="45"/>
      <c r="L13" s="53"/>
      <c r="M13" s="51"/>
      <c r="N13" s="52"/>
      <c r="O13" s="53"/>
      <c r="P13" s="53"/>
      <c r="Q13" s="51"/>
      <c r="R13" s="52"/>
      <c r="S13" s="45"/>
    </row>
    <row r="14" spans="1:19">
      <c r="A14" s="25"/>
      <c r="B14" s="25"/>
      <c r="C14" s="25"/>
      <c r="D14" s="25"/>
      <c r="E14" s="56"/>
      <c r="F14" s="25"/>
      <c r="G14" s="45"/>
      <c r="H14" s="43"/>
      <c r="I14" s="44"/>
      <c r="J14" s="45"/>
      <c r="K14" s="45"/>
      <c r="L14" s="42" t="s">
        <v>3</v>
      </c>
      <c r="M14" s="55">
        <f>((M5*L5)+(M6*L6)+(M7*L7)+(M8*L8)+(M9*L9)+(M10*L10)+(M11+L11)+(M12+L12))*-1</f>
        <v>-793437.42999999993</v>
      </c>
      <c r="N14" s="52"/>
      <c r="O14" s="53"/>
      <c r="P14" s="53"/>
      <c r="Q14" s="51"/>
      <c r="R14" s="52"/>
      <c r="S14" s="45"/>
    </row>
    <row r="15" spans="1:19">
      <c r="A15" s="25"/>
      <c r="B15" s="25"/>
      <c r="C15" s="25"/>
      <c r="D15" s="25"/>
      <c r="E15" s="56"/>
      <c r="F15" s="25"/>
      <c r="G15" s="45"/>
      <c r="H15" s="43"/>
      <c r="I15" s="44"/>
      <c r="J15" s="45"/>
      <c r="K15" s="45"/>
      <c r="L15" s="53"/>
      <c r="M15" s="51"/>
      <c r="N15" s="52"/>
      <c r="O15" s="53"/>
      <c r="P15" s="53"/>
      <c r="Q15" s="51"/>
      <c r="R15" s="52"/>
      <c r="S15" s="45"/>
    </row>
    <row r="16" spans="1:19">
      <c r="A16" s="25"/>
      <c r="B16" s="25"/>
      <c r="C16" s="25"/>
      <c r="D16" s="25"/>
      <c r="E16" s="56"/>
      <c r="F16" s="25"/>
      <c r="G16" s="45"/>
      <c r="H16" s="43"/>
      <c r="I16" s="44"/>
      <c r="J16" s="45"/>
      <c r="K16" s="45"/>
      <c r="L16" s="53"/>
      <c r="M16" s="51"/>
      <c r="N16" s="52"/>
      <c r="O16" s="53"/>
      <c r="P16" s="53"/>
      <c r="Q16" s="51"/>
      <c r="R16" s="52"/>
      <c r="S16" s="45"/>
    </row>
    <row r="17" spans="1:19" ht="30.75" customHeight="1">
      <c r="A17" s="112"/>
      <c r="B17" s="112"/>
      <c r="C17" s="112"/>
      <c r="D17" s="112"/>
      <c r="E17" s="56"/>
      <c r="F17" s="25"/>
      <c r="G17" s="45"/>
      <c r="H17" s="43"/>
      <c r="I17" s="44"/>
      <c r="J17" s="45"/>
      <c r="K17" s="45"/>
      <c r="L17" s="111"/>
      <c r="M17" s="111"/>
      <c r="N17" s="111"/>
      <c r="O17" s="111"/>
      <c r="P17" s="53"/>
      <c r="Q17" s="51"/>
      <c r="R17" s="52"/>
      <c r="S17" s="45"/>
    </row>
    <row r="18" spans="1:19">
      <c r="A18" s="42"/>
      <c r="B18" s="42"/>
      <c r="C18" s="42"/>
      <c r="D18" s="42"/>
      <c r="E18" s="56"/>
      <c r="F18" s="25"/>
      <c r="G18" s="45"/>
      <c r="H18" s="43"/>
      <c r="I18" s="44"/>
      <c r="J18" s="45"/>
      <c r="K18" s="45"/>
      <c r="L18" s="42"/>
      <c r="M18" s="42"/>
      <c r="N18" s="42"/>
      <c r="O18" s="42"/>
      <c r="P18" s="53"/>
      <c r="Q18" s="51"/>
      <c r="R18" s="52"/>
      <c r="S18" s="45"/>
    </row>
    <row r="19" spans="1:19">
      <c r="A19" s="42"/>
      <c r="B19" s="51"/>
      <c r="C19" s="52"/>
      <c r="D19" s="53"/>
      <c r="E19" s="56"/>
      <c r="F19" s="25"/>
      <c r="G19" s="45"/>
      <c r="H19" s="43"/>
      <c r="I19" s="44"/>
      <c r="J19" s="45"/>
      <c r="K19" s="45"/>
      <c r="L19" s="42"/>
      <c r="M19" s="51"/>
      <c r="N19" s="52"/>
      <c r="O19" s="53"/>
      <c r="P19" s="53"/>
      <c r="Q19" s="51"/>
      <c r="R19" s="52"/>
      <c r="S19" s="45"/>
    </row>
    <row r="20" spans="1:19">
      <c r="A20" s="42"/>
      <c r="B20" s="51"/>
      <c r="C20" s="52"/>
      <c r="D20" s="53"/>
      <c r="E20" s="56"/>
      <c r="F20" s="25"/>
      <c r="G20" s="45"/>
      <c r="H20" s="43"/>
      <c r="I20" s="44"/>
      <c r="J20" s="45"/>
      <c r="K20" s="45"/>
      <c r="L20" s="42"/>
      <c r="M20" s="51"/>
      <c r="N20" s="52"/>
      <c r="O20" s="53"/>
      <c r="P20" s="53"/>
      <c r="Q20" s="51"/>
      <c r="R20" s="52"/>
      <c r="S20" s="45"/>
    </row>
    <row r="21" spans="1:19">
      <c r="A21" s="42"/>
      <c r="B21" s="51"/>
      <c r="C21" s="52"/>
      <c r="D21" s="53"/>
      <c r="E21" s="56"/>
      <c r="F21" s="25"/>
      <c r="G21" s="45"/>
      <c r="H21" s="43"/>
      <c r="I21" s="44"/>
      <c r="J21" s="45"/>
      <c r="K21" s="45"/>
      <c r="L21" s="42"/>
      <c r="M21" s="51"/>
      <c r="N21" s="52"/>
      <c r="O21" s="53"/>
      <c r="P21" s="53"/>
      <c r="Q21" s="51"/>
      <c r="R21" s="52"/>
      <c r="S21" s="45"/>
    </row>
    <row r="22" spans="1:19">
      <c r="A22" s="42"/>
      <c r="B22" s="51"/>
      <c r="C22" s="52"/>
      <c r="D22" s="25"/>
      <c r="E22" s="25"/>
      <c r="F22" s="25"/>
      <c r="G22" s="45"/>
      <c r="H22" s="43"/>
      <c r="I22" s="44"/>
      <c r="J22" s="45"/>
      <c r="K22" s="45"/>
      <c r="L22" s="42"/>
      <c r="M22" s="51"/>
      <c r="N22" s="52"/>
      <c r="O22" s="53"/>
      <c r="P22" s="53"/>
      <c r="Q22" s="51"/>
      <c r="R22" s="52"/>
      <c r="S22" s="45"/>
    </row>
    <row r="23" spans="1:19">
      <c r="A23" s="42"/>
      <c r="B23" s="25"/>
      <c r="C23" s="25"/>
      <c r="D23" s="25"/>
      <c r="E23" s="25"/>
      <c r="F23" s="25"/>
      <c r="G23" s="45"/>
      <c r="H23" s="43"/>
      <c r="I23" s="44"/>
      <c r="J23" s="45"/>
      <c r="K23" s="45"/>
      <c r="L23" s="42"/>
      <c r="M23" s="51"/>
      <c r="N23" s="52"/>
      <c r="O23" s="53"/>
      <c r="P23" s="53"/>
      <c r="Q23" s="51"/>
      <c r="R23" s="52"/>
      <c r="S23" s="45"/>
    </row>
    <row r="24" spans="1:19">
      <c r="A24" s="42"/>
      <c r="B24" s="25"/>
      <c r="C24" s="25"/>
      <c r="D24" s="25"/>
      <c r="E24" s="25"/>
      <c r="F24" s="25"/>
      <c r="G24" s="45"/>
      <c r="H24" s="43"/>
      <c r="I24" s="44"/>
      <c r="J24" s="45"/>
      <c r="K24" s="45"/>
      <c r="L24" s="42"/>
      <c r="M24" s="51"/>
      <c r="N24" s="52"/>
      <c r="O24" s="59"/>
      <c r="P24" s="53"/>
      <c r="Q24" s="51"/>
      <c r="R24" s="52"/>
      <c r="S24" s="45"/>
    </row>
    <row r="25" spans="1:19">
      <c r="A25" s="42"/>
      <c r="B25" s="25"/>
      <c r="C25" s="25"/>
      <c r="D25" s="25"/>
      <c r="E25" s="25"/>
      <c r="F25" s="25"/>
      <c r="G25" s="45"/>
      <c r="H25" s="43"/>
      <c r="I25" s="44"/>
      <c r="J25" s="45"/>
      <c r="K25" s="45"/>
      <c r="L25" s="42"/>
      <c r="M25" s="51"/>
      <c r="N25" s="52"/>
      <c r="O25" s="53"/>
      <c r="P25" s="53"/>
      <c r="Q25" s="51"/>
      <c r="R25" s="52"/>
      <c r="S25" s="45"/>
    </row>
    <row r="26" spans="1:19">
      <c r="A26" s="42"/>
      <c r="B26" s="25"/>
      <c r="C26" s="25"/>
      <c r="D26" s="25"/>
      <c r="E26" s="25"/>
      <c r="F26" s="25"/>
      <c r="G26" s="45"/>
      <c r="H26" s="43"/>
      <c r="I26" s="44"/>
      <c r="J26" s="45"/>
      <c r="K26" s="45"/>
      <c r="L26" s="42"/>
      <c r="M26" s="51"/>
      <c r="N26" s="52"/>
      <c r="O26" s="59"/>
      <c r="P26" s="53"/>
      <c r="Q26" s="51"/>
      <c r="R26" s="52"/>
      <c r="S26" s="45"/>
    </row>
    <row r="27" spans="1:19">
      <c r="A27" s="58"/>
      <c r="B27" s="55"/>
      <c r="C27" s="25"/>
      <c r="D27" s="25"/>
      <c r="E27" s="25"/>
      <c r="F27" s="25"/>
      <c r="G27" s="45"/>
      <c r="H27" s="43"/>
      <c r="I27" s="44"/>
      <c r="J27" s="45"/>
      <c r="K27" s="45"/>
      <c r="L27" s="42"/>
      <c r="M27" s="51"/>
      <c r="N27" s="52"/>
      <c r="O27" s="53"/>
      <c r="P27" s="53"/>
      <c r="Q27" s="51"/>
      <c r="R27" s="52"/>
      <c r="S27" s="45"/>
    </row>
    <row r="28" spans="1:19">
      <c r="A28" s="58"/>
      <c r="B28" s="55"/>
      <c r="C28" s="25"/>
      <c r="D28" s="25"/>
      <c r="E28" s="25"/>
      <c r="F28" s="25"/>
      <c r="G28" s="45"/>
      <c r="H28" s="43"/>
      <c r="I28" s="44"/>
      <c r="J28" s="45"/>
      <c r="K28" s="45"/>
      <c r="L28" s="42"/>
      <c r="M28" s="51"/>
      <c r="N28" s="52"/>
      <c r="O28" s="53"/>
      <c r="P28" s="53"/>
      <c r="Q28" s="51"/>
      <c r="R28" s="52"/>
      <c r="S28" s="45"/>
    </row>
    <row r="29" spans="1:19">
      <c r="A29" s="45"/>
      <c r="B29" s="25"/>
      <c r="C29" s="45"/>
      <c r="D29" s="45"/>
      <c r="E29" s="45"/>
      <c r="F29" s="45"/>
      <c r="G29" s="45"/>
      <c r="H29" s="43"/>
      <c r="I29" s="44"/>
      <c r="J29" s="45"/>
      <c r="K29" s="45"/>
      <c r="L29" s="42"/>
      <c r="M29" s="51"/>
      <c r="N29" s="52"/>
      <c r="O29" s="53"/>
      <c r="P29" s="53"/>
      <c r="Q29" s="51"/>
      <c r="R29" s="52"/>
      <c r="S29" s="45"/>
    </row>
    <row r="30" spans="1:19">
      <c r="A30" s="45"/>
      <c r="B30" s="25"/>
      <c r="C30" s="45"/>
      <c r="D30" s="45"/>
      <c r="E30" s="45"/>
      <c r="F30" s="45"/>
      <c r="G30" s="45"/>
      <c r="H30" s="43"/>
      <c r="I30" s="44"/>
      <c r="J30" s="45"/>
      <c r="K30" s="45"/>
      <c r="L30" s="42"/>
      <c r="M30" s="51"/>
      <c r="N30" s="52"/>
      <c r="O30" s="53"/>
      <c r="P30" s="53"/>
      <c r="Q30" s="51"/>
      <c r="R30" s="52"/>
      <c r="S30" s="45"/>
    </row>
    <row r="31" spans="1:19">
      <c r="A31" s="45"/>
      <c r="B31" s="25"/>
      <c r="C31" s="45"/>
      <c r="D31" s="45"/>
      <c r="E31" s="45"/>
      <c r="F31" s="45"/>
      <c r="G31" s="45"/>
      <c r="H31" s="43"/>
      <c r="I31" s="44"/>
      <c r="J31" s="45"/>
      <c r="K31" s="45"/>
      <c r="L31" s="42"/>
      <c r="M31" s="51"/>
      <c r="N31" s="52"/>
      <c r="O31" s="53"/>
      <c r="P31" s="53"/>
      <c r="Q31" s="51"/>
      <c r="R31" s="52"/>
      <c r="S31" s="45"/>
    </row>
    <row r="32" spans="1:19">
      <c r="A32" s="45"/>
      <c r="B32" s="25"/>
      <c r="C32" s="45"/>
      <c r="D32" s="45"/>
      <c r="E32" s="45"/>
      <c r="F32" s="45"/>
      <c r="G32" s="45"/>
      <c r="H32" s="43"/>
      <c r="I32" s="44"/>
      <c r="J32" s="45"/>
      <c r="K32" s="45"/>
      <c r="L32" s="53"/>
      <c r="M32" s="51"/>
      <c r="N32" s="52"/>
      <c r="O32" s="53"/>
      <c r="P32" s="53"/>
      <c r="Q32" s="51"/>
      <c r="R32" s="52"/>
      <c r="S32" s="45"/>
    </row>
    <row r="33" spans="1:19">
      <c r="A33" s="45"/>
      <c r="B33" s="25"/>
      <c r="C33" s="45"/>
      <c r="D33" s="45"/>
      <c r="E33" s="45"/>
      <c r="F33" s="45"/>
      <c r="G33" s="45"/>
      <c r="H33" s="43"/>
      <c r="I33" s="44"/>
      <c r="J33" s="45"/>
      <c r="K33" s="45"/>
      <c r="L33" s="53"/>
      <c r="M33" s="51"/>
      <c r="N33" s="52"/>
      <c r="O33" s="53"/>
      <c r="P33" s="53"/>
      <c r="Q33" s="51"/>
      <c r="R33" s="52"/>
      <c r="S33" s="45"/>
    </row>
    <row r="34" spans="1:19">
      <c r="A34" s="45"/>
      <c r="B34" s="25"/>
      <c r="C34" s="45"/>
      <c r="D34" s="45"/>
      <c r="E34" s="45"/>
      <c r="F34" s="45"/>
      <c r="G34" s="45"/>
      <c r="H34" s="43"/>
      <c r="I34" s="44"/>
      <c r="J34" s="45"/>
      <c r="K34" s="45"/>
      <c r="L34" s="53"/>
      <c r="M34" s="51"/>
      <c r="N34" s="52"/>
      <c r="O34" s="53"/>
      <c r="P34" s="53"/>
      <c r="Q34" s="51"/>
      <c r="R34" s="52"/>
      <c r="S34" s="45"/>
    </row>
    <row r="35" spans="1:19">
      <c r="A35" s="45"/>
      <c r="B35" s="25"/>
      <c r="C35" s="45"/>
      <c r="D35" s="45"/>
      <c r="E35" s="45"/>
      <c r="F35" s="45"/>
      <c r="G35" s="45"/>
      <c r="H35" s="43"/>
      <c r="I35" s="44"/>
      <c r="J35" s="45"/>
      <c r="K35" s="45"/>
      <c r="L35" s="53"/>
      <c r="M35" s="51"/>
      <c r="N35" s="52"/>
      <c r="O35" s="53"/>
      <c r="P35" s="53"/>
      <c r="Q35" s="51"/>
      <c r="R35" s="52"/>
      <c r="S35" s="45"/>
    </row>
    <row r="36" spans="1:19">
      <c r="A36" s="45"/>
      <c r="B36" s="25"/>
      <c r="C36" s="45"/>
      <c r="D36" s="45"/>
      <c r="E36" s="45"/>
      <c r="F36" s="45"/>
      <c r="G36" s="45"/>
      <c r="H36" s="43"/>
      <c r="I36" s="44"/>
      <c r="J36" s="45"/>
      <c r="K36" s="45"/>
      <c r="L36" s="53"/>
      <c r="M36" s="51"/>
      <c r="N36" s="52"/>
      <c r="O36" s="53"/>
      <c r="P36" s="53"/>
      <c r="Q36" s="51"/>
      <c r="R36" s="52"/>
      <c r="S36" s="45"/>
    </row>
    <row r="37" spans="1:19">
      <c r="A37" s="45"/>
      <c r="B37" s="25"/>
      <c r="C37" s="45"/>
      <c r="D37" s="45"/>
      <c r="E37" s="45"/>
      <c r="F37" s="45"/>
      <c r="G37" s="45"/>
      <c r="H37" s="43"/>
      <c r="I37" s="44"/>
      <c r="J37" s="45"/>
      <c r="K37" s="45"/>
      <c r="L37" s="53"/>
      <c r="M37" s="51"/>
      <c r="N37" s="52"/>
      <c r="O37" s="53"/>
      <c r="P37" s="53"/>
      <c r="Q37" s="51"/>
      <c r="R37" s="52"/>
      <c r="S37" s="45"/>
    </row>
    <row r="38" spans="1:19">
      <c r="A38" s="45"/>
      <c r="B38" s="25"/>
      <c r="C38" s="45"/>
      <c r="D38" s="45"/>
      <c r="E38" s="45"/>
      <c r="F38" s="45"/>
      <c r="G38" s="45"/>
      <c r="H38" s="43"/>
      <c r="I38" s="44"/>
      <c r="J38" s="45"/>
      <c r="K38" s="45"/>
      <c r="L38" s="53"/>
      <c r="M38" s="51"/>
      <c r="N38" s="52"/>
      <c r="O38" s="53"/>
      <c r="P38" s="53"/>
      <c r="Q38" s="51"/>
      <c r="R38" s="52"/>
      <c r="S38" s="45"/>
    </row>
    <row r="39" spans="1:19">
      <c r="A39" s="45"/>
      <c r="B39" s="25"/>
      <c r="C39" s="45"/>
      <c r="D39" s="45"/>
      <c r="E39" s="45"/>
      <c r="F39" s="45"/>
      <c r="G39" s="45"/>
      <c r="H39" s="43"/>
      <c r="I39" s="44"/>
      <c r="J39" s="45"/>
      <c r="K39" s="45"/>
      <c r="L39" s="53"/>
      <c r="M39" s="51"/>
      <c r="N39" s="52"/>
      <c r="O39" s="53"/>
      <c r="P39" s="53"/>
      <c r="Q39" s="51"/>
      <c r="R39" s="52"/>
      <c r="S39" s="45"/>
    </row>
    <row r="40" spans="1:19">
      <c r="A40" s="45"/>
      <c r="B40" s="25"/>
      <c r="C40" s="45"/>
      <c r="D40" s="45"/>
      <c r="E40" s="45"/>
      <c r="F40" s="45"/>
      <c r="G40" s="45"/>
      <c r="H40" s="43"/>
      <c r="I40" s="44"/>
      <c r="J40" s="45"/>
      <c r="K40" s="45"/>
      <c r="L40" s="53"/>
      <c r="M40" s="51"/>
      <c r="N40" s="52"/>
      <c r="O40" s="53"/>
      <c r="P40" s="53"/>
      <c r="Q40" s="51"/>
      <c r="R40" s="52"/>
      <c r="S40" s="45"/>
    </row>
    <row r="41" spans="1:19">
      <c r="A41" s="45"/>
      <c r="B41" s="25"/>
      <c r="C41" s="45"/>
      <c r="D41" s="45"/>
      <c r="E41" s="45"/>
      <c r="F41" s="45"/>
      <c r="G41" s="45"/>
      <c r="H41" s="43"/>
      <c r="I41" s="44"/>
      <c r="J41" s="45"/>
      <c r="K41" s="45"/>
      <c r="L41" s="53"/>
      <c r="M41" s="51"/>
      <c r="N41" s="52"/>
      <c r="O41" s="53"/>
      <c r="P41" s="53"/>
      <c r="Q41" s="51"/>
      <c r="R41" s="52"/>
      <c r="S41" s="45"/>
    </row>
  </sheetData>
  <mergeCells count="11">
    <mergeCell ref="E5:E6"/>
    <mergeCell ref="A17:D17"/>
    <mergeCell ref="L17:O17"/>
    <mergeCell ref="A1:E1"/>
    <mergeCell ref="H1:I1"/>
    <mergeCell ref="L1:N1"/>
    <mergeCell ref="P1:R1"/>
    <mergeCell ref="A2:E2"/>
    <mergeCell ref="H2:I2"/>
    <mergeCell ref="L2:N2"/>
    <mergeCell ref="P2:R2"/>
  </mergeCells>
  <conditionalFormatting sqref="A2:F3">
    <cfRule type="cellIs" dxfId="3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24BC4-05C8-446F-B857-12FC2221ADAA}">
  <dimension ref="A1:S41"/>
  <sheetViews>
    <sheetView showGridLines="0" zoomScaleNormal="100" workbookViewId="0">
      <selection activeCell="E15" sqref="A15:E30"/>
    </sheetView>
  </sheetViews>
  <sheetFormatPr defaultColWidth="13.28515625" defaultRowHeight="15"/>
  <cols>
    <col min="1" max="1" width="15.28515625" style="38" bestFit="1" customWidth="1"/>
    <col min="2" max="2" width="13.85546875" style="38" customWidth="1"/>
    <col min="3" max="3" width="15" style="38" bestFit="1" customWidth="1"/>
    <col min="4" max="4" width="15.85546875" style="38" customWidth="1"/>
    <col min="5" max="5" width="17.5703125" style="38" bestFit="1" customWidth="1"/>
    <col min="6" max="6" width="17.5703125" style="38" customWidth="1"/>
    <col min="7" max="7" width="13.28515625" style="38" customWidth="1"/>
    <col min="8" max="8" width="21.42578125" style="38" bestFit="1" customWidth="1"/>
    <col min="9" max="9" width="12" style="38" bestFit="1" customWidth="1"/>
    <col min="10" max="12" width="9.140625" style="38" bestFit="1" customWidth="1"/>
    <col min="13" max="13" width="15.28515625" style="38" bestFit="1" customWidth="1"/>
    <col min="14" max="14" width="23.28515625" style="38" bestFit="1" customWidth="1"/>
    <col min="15" max="16384" width="13.28515625" style="38"/>
  </cols>
  <sheetData>
    <row r="1" spans="1:19" ht="33" customHeight="1">
      <c r="A1" s="98" t="s">
        <v>0</v>
      </c>
      <c r="B1" s="98"/>
      <c r="C1" s="98"/>
      <c r="D1" s="98"/>
      <c r="E1" s="98"/>
      <c r="F1" s="88"/>
      <c r="G1" s="39"/>
      <c r="H1" s="98" t="s">
        <v>1</v>
      </c>
      <c r="I1" s="98"/>
      <c r="J1" s="39"/>
      <c r="K1" s="39"/>
      <c r="L1" s="98" t="s">
        <v>2</v>
      </c>
      <c r="M1" s="98"/>
      <c r="N1" s="98"/>
      <c r="O1" s="39"/>
      <c r="P1" s="98" t="s">
        <v>3</v>
      </c>
      <c r="Q1" s="98"/>
      <c r="R1" s="98"/>
      <c r="S1" s="39"/>
    </row>
    <row r="2" spans="1:19" ht="18">
      <c r="A2" s="99">
        <f>E7+P2</f>
        <v>1355.3899999999994</v>
      </c>
      <c r="B2" s="99"/>
      <c r="C2" s="99"/>
      <c r="D2" s="99"/>
      <c r="E2" s="99"/>
      <c r="F2" s="89"/>
      <c r="G2" s="40"/>
      <c r="H2" s="100">
        <f>SUM(I4:I11)*-1</f>
        <v>-3415.17</v>
      </c>
      <c r="I2" s="100"/>
      <c r="J2" s="40"/>
      <c r="K2" s="40"/>
      <c r="L2" s="101">
        <f>SUM(M5:M12)*-1</f>
        <v>-1849.44</v>
      </c>
      <c r="M2" s="101"/>
      <c r="N2" s="101"/>
      <c r="O2" s="41"/>
      <c r="P2" s="102">
        <f>SUM(H2:N2)</f>
        <v>-5264.6100000000006</v>
      </c>
      <c r="Q2" s="102"/>
      <c r="R2" s="102"/>
      <c r="S2" s="40"/>
    </row>
    <row r="3" spans="1:19" ht="16.5" customHeight="1">
      <c r="A3" s="89"/>
      <c r="B3" s="89"/>
      <c r="C3" s="89"/>
      <c r="D3" s="89"/>
      <c r="E3" s="89"/>
      <c r="F3" s="89"/>
      <c r="G3" s="40"/>
      <c r="H3" s="90"/>
      <c r="I3" s="90"/>
      <c r="J3" s="42" t="s">
        <v>4</v>
      </c>
      <c r="K3" s="40"/>
      <c r="L3" s="91"/>
      <c r="M3" s="91"/>
      <c r="N3" s="91"/>
      <c r="O3" s="92"/>
      <c r="P3" s="92"/>
      <c r="Q3" s="92"/>
      <c r="R3" s="92"/>
      <c r="S3" s="40"/>
    </row>
    <row r="4" spans="1:19">
      <c r="A4" s="42"/>
      <c r="B4" s="42" t="s">
        <v>5</v>
      </c>
      <c r="C4" s="42" t="s">
        <v>6</v>
      </c>
      <c r="D4" s="42" t="s">
        <v>7</v>
      </c>
      <c r="E4" s="42" t="s">
        <v>8</v>
      </c>
      <c r="F4" s="42" t="s">
        <v>9</v>
      </c>
      <c r="G4" s="42"/>
      <c r="H4" s="43" t="s">
        <v>10</v>
      </c>
      <c r="I4" s="44">
        <v>1460</v>
      </c>
      <c r="J4" s="45" t="s">
        <v>11</v>
      </c>
      <c r="K4" s="42"/>
      <c r="L4" s="42" t="s">
        <v>12</v>
      </c>
      <c r="M4" s="42" t="s">
        <v>13</v>
      </c>
      <c r="N4" s="42" t="s">
        <v>14</v>
      </c>
      <c r="O4" s="42" t="s">
        <v>4</v>
      </c>
      <c r="P4" s="42"/>
      <c r="Q4" s="46" t="s">
        <v>15</v>
      </c>
      <c r="R4" s="47" t="s">
        <v>16</v>
      </c>
      <c r="S4" s="42"/>
    </row>
    <row r="5" spans="1:19">
      <c r="A5" s="48" t="s">
        <v>17</v>
      </c>
      <c r="B5" s="49">
        <v>3500</v>
      </c>
      <c r="C5" s="49">
        <f>B5-D5</f>
        <v>1762</v>
      </c>
      <c r="D5" s="49">
        <v>1738</v>
      </c>
      <c r="E5" s="113">
        <f>5220-1338-800</f>
        <v>3082</v>
      </c>
      <c r="F5" s="50">
        <f>IF(A2&gt;0,A2/2,"R$ 0,00")-B19-B20-B21-B22-B23-B24</f>
        <v>677.69499999999971</v>
      </c>
      <c r="G5" s="45"/>
      <c r="H5" s="43" t="s">
        <v>18</v>
      </c>
      <c r="I5" s="44">
        <v>134.22999999999999</v>
      </c>
      <c r="J5" s="45" t="s">
        <v>11</v>
      </c>
      <c r="K5" s="45"/>
      <c r="L5" s="42">
        <v>5</v>
      </c>
      <c r="M5" s="51">
        <v>113.08</v>
      </c>
      <c r="N5" s="52" t="s">
        <v>54</v>
      </c>
      <c r="O5" s="45" t="s">
        <v>11</v>
      </c>
      <c r="P5" s="53"/>
      <c r="Q5" s="54">
        <f>SUMIF(J:J,"ok",I:I)+SUMIF(O:O,"ok",M:M)</f>
        <v>4861.49</v>
      </c>
      <c r="R5" s="55">
        <f>P2+Q5</f>
        <v>-403.1200000000008</v>
      </c>
      <c r="S5" s="45"/>
    </row>
    <row r="6" spans="1:19">
      <c r="A6" s="48" t="s">
        <v>20</v>
      </c>
      <c r="B6" s="49">
        <v>6174.52</v>
      </c>
      <c r="C6" s="49">
        <f>B6-D6</f>
        <v>4374.5200000000004</v>
      </c>
      <c r="D6" s="49">
        <v>1800</v>
      </c>
      <c r="E6" s="113"/>
      <c r="F6" s="50">
        <f>IF(A2&gt;0,A2/2,"R$ 0,00")</f>
        <v>677.69499999999971</v>
      </c>
      <c r="G6" s="45"/>
      <c r="H6" s="43" t="s">
        <v>21</v>
      </c>
      <c r="I6" s="44">
        <v>93.44</v>
      </c>
      <c r="J6" s="45" t="s">
        <v>11</v>
      </c>
      <c r="K6" s="45"/>
      <c r="L6" s="42">
        <v>7</v>
      </c>
      <c r="M6" s="51">
        <v>500</v>
      </c>
      <c r="N6" s="52" t="s">
        <v>56</v>
      </c>
      <c r="O6" s="45" t="s">
        <v>11</v>
      </c>
      <c r="P6" s="53"/>
      <c r="Q6" s="51"/>
      <c r="R6" s="52"/>
      <c r="S6" s="45"/>
    </row>
    <row r="7" spans="1:19">
      <c r="A7" s="48" t="s">
        <v>3</v>
      </c>
      <c r="B7" s="56"/>
      <c r="C7" s="56"/>
      <c r="D7" s="57"/>
      <c r="E7" s="49">
        <f>D5+D6+E5</f>
        <v>6620</v>
      </c>
      <c r="F7" s="58"/>
      <c r="G7" s="45"/>
      <c r="H7" s="43" t="s">
        <v>41</v>
      </c>
      <c r="I7" s="44">
        <v>700</v>
      </c>
      <c r="J7" s="45" t="s">
        <v>11</v>
      </c>
      <c r="K7" s="45"/>
      <c r="L7" s="42">
        <v>1</v>
      </c>
      <c r="M7" s="51">
        <v>1236.3599999999999</v>
      </c>
      <c r="N7" s="52" t="s">
        <v>49</v>
      </c>
      <c r="O7" s="61" t="s">
        <v>11</v>
      </c>
      <c r="P7" s="53"/>
      <c r="Q7" s="51"/>
      <c r="R7" s="52"/>
      <c r="S7" s="45"/>
    </row>
    <row r="8" spans="1:19">
      <c r="A8" s="48"/>
      <c r="B8" s="56"/>
      <c r="C8" s="56"/>
      <c r="D8" s="56"/>
      <c r="E8" s="49"/>
      <c r="F8" s="25"/>
      <c r="G8" s="45"/>
      <c r="H8" s="43" t="s">
        <v>46</v>
      </c>
      <c r="I8" s="44">
        <v>64.900000000000006</v>
      </c>
      <c r="J8" s="45" t="s">
        <v>11</v>
      </c>
      <c r="K8" s="45"/>
      <c r="L8" s="42"/>
      <c r="M8" s="51"/>
      <c r="N8" s="52"/>
      <c r="O8" s="61"/>
      <c r="P8" s="53"/>
      <c r="Q8" s="51"/>
      <c r="R8" s="52"/>
      <c r="S8" s="45"/>
    </row>
    <row r="9" spans="1:19">
      <c r="A9" s="25"/>
      <c r="B9" s="56"/>
      <c r="C9" s="56"/>
      <c r="D9" s="56"/>
      <c r="E9" s="56"/>
      <c r="F9" s="25"/>
      <c r="G9" s="45"/>
      <c r="H9" s="43" t="s">
        <v>44</v>
      </c>
      <c r="I9" s="44">
        <v>465.12</v>
      </c>
      <c r="J9" s="45"/>
      <c r="K9" s="45"/>
      <c r="L9" s="42"/>
      <c r="M9" s="51"/>
      <c r="N9" s="52"/>
      <c r="O9" s="53"/>
      <c r="P9" s="53"/>
      <c r="Q9" s="51"/>
      <c r="R9" s="52"/>
      <c r="S9" s="45"/>
    </row>
    <row r="10" spans="1:19">
      <c r="A10" s="25"/>
      <c r="B10" s="25"/>
      <c r="C10" s="25"/>
      <c r="D10" s="25"/>
      <c r="E10" s="25"/>
      <c r="F10" s="25"/>
      <c r="G10" s="45"/>
      <c r="H10" s="43" t="s">
        <v>33</v>
      </c>
      <c r="I10" s="44">
        <v>97.48</v>
      </c>
      <c r="J10" s="45" t="s">
        <v>11</v>
      </c>
      <c r="K10" s="45"/>
      <c r="L10" s="42"/>
      <c r="M10" s="51"/>
      <c r="N10" s="52"/>
      <c r="O10" s="53"/>
      <c r="P10" s="53"/>
      <c r="Q10" s="51"/>
      <c r="R10" s="52"/>
      <c r="S10" s="45"/>
    </row>
    <row r="11" spans="1:19">
      <c r="A11" s="48"/>
      <c r="B11" s="60"/>
      <c r="C11" s="60"/>
      <c r="D11" s="60"/>
      <c r="E11" s="25"/>
      <c r="F11" s="25"/>
      <c r="G11" s="45"/>
      <c r="H11" s="43" t="s">
        <v>38</v>
      </c>
      <c r="I11" s="44">
        <v>400</v>
      </c>
      <c r="J11" s="45" t="s">
        <v>11</v>
      </c>
      <c r="K11" s="45"/>
      <c r="L11" s="42"/>
      <c r="M11" s="51"/>
      <c r="N11" s="52"/>
      <c r="O11" s="53"/>
      <c r="P11" s="53"/>
      <c r="Q11" s="51"/>
      <c r="R11" s="52"/>
      <c r="S11" s="45"/>
    </row>
    <row r="12" spans="1:19">
      <c r="A12" s="48"/>
      <c r="B12" s="25"/>
      <c r="C12" s="25"/>
      <c r="D12" s="25"/>
      <c r="E12" s="25"/>
      <c r="F12" s="25"/>
      <c r="G12" s="45"/>
      <c r="H12" s="43" t="s">
        <v>47</v>
      </c>
      <c r="I12" s="44">
        <v>62</v>
      </c>
      <c r="J12" s="45" t="s">
        <v>11</v>
      </c>
      <c r="K12" s="45"/>
      <c r="L12" s="42"/>
      <c r="M12" s="51"/>
      <c r="N12" s="52"/>
      <c r="O12" s="53"/>
      <c r="P12" s="53"/>
      <c r="Q12" s="51"/>
      <c r="R12" s="52"/>
      <c r="S12" s="45"/>
    </row>
    <row r="13" spans="1:19">
      <c r="A13" s="25"/>
      <c r="B13" s="25"/>
      <c r="C13" s="25"/>
      <c r="D13" s="25"/>
      <c r="E13" s="25"/>
      <c r="F13" s="25"/>
      <c r="G13" s="45"/>
      <c r="H13" s="43"/>
      <c r="I13" s="44"/>
      <c r="J13" s="45"/>
      <c r="K13" s="45"/>
      <c r="L13" s="53"/>
      <c r="M13" s="51"/>
      <c r="N13" s="52"/>
      <c r="O13" s="53"/>
      <c r="P13" s="53"/>
      <c r="Q13" s="51"/>
      <c r="R13" s="52"/>
      <c r="S13" s="45"/>
    </row>
    <row r="14" spans="1:19">
      <c r="A14" s="25"/>
      <c r="B14" s="25"/>
      <c r="C14" s="25"/>
      <c r="D14" s="25"/>
      <c r="E14" s="56"/>
      <c r="F14" s="25"/>
      <c r="G14" s="45"/>
      <c r="H14" s="43"/>
      <c r="I14" s="44"/>
      <c r="J14" s="45"/>
      <c r="K14" s="45"/>
      <c r="L14" s="42" t="s">
        <v>3</v>
      </c>
      <c r="M14" s="55">
        <f>((M5*L5)+(M6*L6)+(M7*L7)+(M8*L8)+(M9*L9)+(M10*L10)+(M11+L11)+(M12+L12))*-1</f>
        <v>-5301.76</v>
      </c>
      <c r="N14" s="52"/>
      <c r="O14" s="53"/>
      <c r="P14" s="53"/>
      <c r="Q14" s="51"/>
      <c r="R14" s="52"/>
      <c r="S14" s="45"/>
    </row>
    <row r="15" spans="1:19">
      <c r="A15" s="25"/>
      <c r="B15" s="25"/>
      <c r="C15" s="25"/>
      <c r="D15" s="25"/>
      <c r="E15" s="56"/>
      <c r="F15" s="25"/>
      <c r="G15" s="45"/>
      <c r="H15" s="43"/>
      <c r="I15" s="44"/>
      <c r="J15" s="45"/>
      <c r="K15" s="45"/>
      <c r="L15" s="53"/>
      <c r="M15" s="51"/>
      <c r="N15" s="52"/>
      <c r="O15" s="53"/>
      <c r="P15" s="53"/>
      <c r="Q15" s="51"/>
      <c r="R15" s="52"/>
      <c r="S15" s="45"/>
    </row>
    <row r="16" spans="1:19">
      <c r="A16" s="25"/>
      <c r="B16" s="25"/>
      <c r="C16" s="25"/>
      <c r="D16" s="25"/>
      <c r="E16" s="56"/>
      <c r="F16" s="25"/>
      <c r="G16" s="45"/>
      <c r="H16" s="43"/>
      <c r="I16" s="44"/>
      <c r="J16" s="45"/>
      <c r="K16" s="45"/>
      <c r="L16" s="53"/>
      <c r="M16" s="51"/>
      <c r="N16" s="52"/>
      <c r="O16" s="53"/>
      <c r="P16" s="53"/>
      <c r="Q16" s="51"/>
      <c r="R16" s="52"/>
      <c r="S16" s="45"/>
    </row>
    <row r="17" spans="1:19" ht="30.75" customHeight="1">
      <c r="A17" s="112"/>
      <c r="B17" s="112"/>
      <c r="C17" s="112"/>
      <c r="D17" s="112"/>
      <c r="E17" s="56"/>
      <c r="F17" s="25"/>
      <c r="G17" s="45"/>
      <c r="H17" s="43"/>
      <c r="I17" s="44"/>
      <c r="J17" s="45"/>
      <c r="K17" s="45"/>
      <c r="L17" s="111"/>
      <c r="M17" s="111"/>
      <c r="N17" s="111"/>
      <c r="O17" s="111"/>
      <c r="P17" s="53"/>
      <c r="Q17" s="51"/>
      <c r="R17" s="52"/>
      <c r="S17" s="45"/>
    </row>
    <row r="18" spans="1:19">
      <c r="A18" s="42"/>
      <c r="B18" s="42"/>
      <c r="C18" s="42"/>
      <c r="D18" s="42"/>
      <c r="E18" s="56"/>
      <c r="F18" s="25"/>
      <c r="G18" s="45"/>
      <c r="H18" s="43"/>
      <c r="I18" s="44"/>
      <c r="J18" s="45"/>
      <c r="K18" s="45"/>
      <c r="L18" s="42"/>
      <c r="M18" s="42"/>
      <c r="N18" s="42"/>
      <c r="O18" s="42"/>
      <c r="P18" s="53"/>
      <c r="Q18" s="51"/>
      <c r="R18" s="52"/>
      <c r="S18" s="45"/>
    </row>
    <row r="19" spans="1:19">
      <c r="A19" s="42"/>
      <c r="B19" s="51"/>
      <c r="C19" s="52"/>
      <c r="D19" s="53"/>
      <c r="E19" s="56"/>
      <c r="F19" s="25"/>
      <c r="G19" s="45"/>
      <c r="H19" s="43"/>
      <c r="I19" s="44"/>
      <c r="J19" s="45"/>
      <c r="K19" s="45"/>
      <c r="L19" s="42"/>
      <c r="M19" s="51"/>
      <c r="N19" s="52"/>
      <c r="O19" s="53"/>
      <c r="P19" s="53"/>
      <c r="Q19" s="51"/>
      <c r="R19" s="52"/>
      <c r="S19" s="45"/>
    </row>
    <row r="20" spans="1:19">
      <c r="A20" s="42"/>
      <c r="B20" s="51"/>
      <c r="C20" s="52"/>
      <c r="D20" s="53"/>
      <c r="E20" s="56"/>
      <c r="F20" s="25"/>
      <c r="G20" s="45"/>
      <c r="H20" s="43"/>
      <c r="I20" s="44"/>
      <c r="J20" s="45"/>
      <c r="K20" s="45"/>
      <c r="L20" s="42"/>
      <c r="M20" s="51"/>
      <c r="N20" s="52"/>
      <c r="O20" s="53"/>
      <c r="P20" s="53"/>
      <c r="Q20" s="51"/>
      <c r="R20" s="52"/>
      <c r="S20" s="45"/>
    </row>
    <row r="21" spans="1:19">
      <c r="A21" s="42"/>
      <c r="B21" s="51"/>
      <c r="C21" s="52"/>
      <c r="D21" s="53"/>
      <c r="E21" s="56"/>
      <c r="F21" s="25"/>
      <c r="G21" s="45"/>
      <c r="H21" s="43"/>
      <c r="I21" s="44"/>
      <c r="J21" s="45"/>
      <c r="K21" s="45"/>
      <c r="L21" s="42"/>
      <c r="M21" s="51"/>
      <c r="N21" s="52"/>
      <c r="O21" s="53"/>
      <c r="P21" s="53"/>
      <c r="Q21" s="51"/>
      <c r="R21" s="52"/>
      <c r="S21" s="45"/>
    </row>
    <row r="22" spans="1:19">
      <c r="A22" s="42"/>
      <c r="B22" s="51"/>
      <c r="C22" s="52"/>
      <c r="D22" s="25"/>
      <c r="E22" s="25"/>
      <c r="F22" s="25"/>
      <c r="G22" s="45"/>
      <c r="H22" s="43"/>
      <c r="I22" s="44"/>
      <c r="J22" s="45"/>
      <c r="K22" s="45"/>
      <c r="L22" s="42"/>
      <c r="M22" s="51"/>
      <c r="N22" s="52"/>
      <c r="O22" s="53"/>
      <c r="P22" s="53"/>
      <c r="Q22" s="51"/>
      <c r="R22" s="52"/>
      <c r="S22" s="45"/>
    </row>
    <row r="23" spans="1:19">
      <c r="A23" s="42"/>
      <c r="B23" s="25"/>
      <c r="C23" s="25"/>
      <c r="D23" s="25"/>
      <c r="E23" s="25"/>
      <c r="F23" s="25"/>
      <c r="G23" s="45"/>
      <c r="H23" s="43"/>
      <c r="I23" s="44"/>
      <c r="J23" s="45"/>
      <c r="K23" s="45"/>
      <c r="L23" s="42"/>
      <c r="M23" s="51"/>
      <c r="N23" s="52"/>
      <c r="O23" s="53"/>
      <c r="P23" s="53"/>
      <c r="Q23" s="51"/>
      <c r="R23" s="52"/>
      <c r="S23" s="45"/>
    </row>
    <row r="24" spans="1:19">
      <c r="A24" s="42"/>
      <c r="B24" s="25"/>
      <c r="C24" s="25"/>
      <c r="D24" s="25"/>
      <c r="E24" s="25"/>
      <c r="F24" s="25"/>
      <c r="G24" s="45"/>
      <c r="H24" s="43"/>
      <c r="I24" s="44"/>
      <c r="J24" s="45"/>
      <c r="K24" s="45"/>
      <c r="L24" s="42"/>
      <c r="M24" s="51"/>
      <c r="N24" s="52"/>
      <c r="O24" s="59"/>
      <c r="P24" s="53"/>
      <c r="Q24" s="51"/>
      <c r="R24" s="52"/>
      <c r="S24" s="45"/>
    </row>
    <row r="25" spans="1:19">
      <c r="A25" s="42"/>
      <c r="B25" s="25"/>
      <c r="C25" s="25"/>
      <c r="D25" s="25"/>
      <c r="E25" s="25"/>
      <c r="F25" s="25"/>
      <c r="G25" s="45"/>
      <c r="H25" s="43"/>
      <c r="I25" s="44"/>
      <c r="J25" s="45"/>
      <c r="K25" s="45"/>
      <c r="L25" s="42"/>
      <c r="M25" s="51"/>
      <c r="N25" s="52"/>
      <c r="O25" s="53"/>
      <c r="P25" s="53"/>
      <c r="Q25" s="51"/>
      <c r="R25" s="52"/>
      <c r="S25" s="45"/>
    </row>
    <row r="26" spans="1:19">
      <c r="A26" s="42"/>
      <c r="B26" s="25"/>
      <c r="C26" s="25"/>
      <c r="D26" s="25"/>
      <c r="E26" s="25"/>
      <c r="F26" s="25"/>
      <c r="G26" s="45"/>
      <c r="H26" s="43"/>
      <c r="I26" s="44"/>
      <c r="J26" s="45"/>
      <c r="K26" s="45"/>
      <c r="L26" s="42"/>
      <c r="M26" s="51"/>
      <c r="N26" s="52"/>
      <c r="O26" s="59"/>
      <c r="P26" s="53"/>
      <c r="Q26" s="51"/>
      <c r="R26" s="52"/>
      <c r="S26" s="45"/>
    </row>
    <row r="27" spans="1:19">
      <c r="A27" s="58"/>
      <c r="B27" s="55"/>
      <c r="C27" s="25"/>
      <c r="D27" s="25"/>
      <c r="E27" s="25"/>
      <c r="F27" s="25"/>
      <c r="G27" s="45"/>
      <c r="H27" s="43"/>
      <c r="I27" s="44"/>
      <c r="J27" s="45"/>
      <c r="K27" s="45"/>
      <c r="L27" s="42"/>
      <c r="M27" s="51"/>
      <c r="N27" s="52"/>
      <c r="O27" s="53"/>
      <c r="P27" s="53"/>
      <c r="Q27" s="51"/>
      <c r="R27" s="52"/>
      <c r="S27" s="45"/>
    </row>
    <row r="28" spans="1:19">
      <c r="A28" s="58"/>
      <c r="B28" s="55"/>
      <c r="C28" s="25"/>
      <c r="D28" s="25"/>
      <c r="E28" s="25"/>
      <c r="F28" s="25"/>
      <c r="G28" s="45"/>
      <c r="H28" s="43"/>
      <c r="I28" s="44"/>
      <c r="J28" s="45"/>
      <c r="K28" s="45"/>
      <c r="L28" s="42"/>
      <c r="M28" s="51"/>
      <c r="N28" s="52"/>
      <c r="O28" s="53"/>
      <c r="P28" s="53"/>
      <c r="Q28" s="51"/>
      <c r="R28" s="52"/>
      <c r="S28" s="45"/>
    </row>
    <row r="29" spans="1:19">
      <c r="A29" s="45"/>
      <c r="B29" s="25"/>
      <c r="C29" s="45"/>
      <c r="D29" s="45"/>
      <c r="E29" s="45"/>
      <c r="F29" s="45"/>
      <c r="G29" s="45"/>
      <c r="H29" s="43"/>
      <c r="I29" s="44"/>
      <c r="J29" s="45"/>
      <c r="K29" s="45"/>
      <c r="L29" s="42"/>
      <c r="M29" s="51"/>
      <c r="N29" s="52"/>
      <c r="O29" s="53"/>
      <c r="P29" s="53"/>
      <c r="Q29" s="51"/>
      <c r="R29" s="52"/>
      <c r="S29" s="45"/>
    </row>
    <row r="30" spans="1:19">
      <c r="A30" s="45"/>
      <c r="B30" s="25"/>
      <c r="C30" s="45"/>
      <c r="D30" s="45"/>
      <c r="E30" s="45"/>
      <c r="F30" s="45"/>
      <c r="G30" s="45"/>
      <c r="H30" s="43"/>
      <c r="I30" s="44"/>
      <c r="J30" s="45"/>
      <c r="K30" s="45"/>
      <c r="L30" s="42"/>
      <c r="M30" s="51"/>
      <c r="N30" s="52"/>
      <c r="O30" s="53"/>
      <c r="P30" s="53"/>
      <c r="Q30" s="51"/>
      <c r="R30" s="52"/>
      <c r="S30" s="45"/>
    </row>
    <row r="31" spans="1:19">
      <c r="A31" s="45"/>
      <c r="B31" s="25"/>
      <c r="C31" s="45"/>
      <c r="D31" s="45"/>
      <c r="E31" s="45"/>
      <c r="F31" s="45"/>
      <c r="G31" s="45"/>
      <c r="H31" s="43"/>
      <c r="I31" s="44"/>
      <c r="J31" s="45"/>
      <c r="K31" s="45"/>
      <c r="L31" s="42"/>
      <c r="M31" s="51"/>
      <c r="N31" s="52"/>
      <c r="O31" s="53"/>
      <c r="P31" s="53"/>
      <c r="Q31" s="51"/>
      <c r="R31" s="52"/>
      <c r="S31" s="45"/>
    </row>
    <row r="32" spans="1:19">
      <c r="A32" s="45"/>
      <c r="B32" s="25"/>
      <c r="C32" s="45"/>
      <c r="D32" s="45"/>
      <c r="E32" s="45"/>
      <c r="F32" s="45"/>
      <c r="G32" s="45"/>
      <c r="H32" s="43"/>
      <c r="I32" s="44"/>
      <c r="J32" s="45"/>
      <c r="K32" s="45"/>
      <c r="L32" s="53"/>
      <c r="M32" s="51"/>
      <c r="N32" s="52"/>
      <c r="O32" s="53"/>
      <c r="P32" s="53"/>
      <c r="Q32" s="51"/>
      <c r="R32" s="52"/>
      <c r="S32" s="45"/>
    </row>
    <row r="33" spans="1:19">
      <c r="A33" s="45"/>
      <c r="B33" s="25"/>
      <c r="C33" s="45"/>
      <c r="D33" s="45"/>
      <c r="E33" s="45"/>
      <c r="F33" s="45"/>
      <c r="G33" s="45"/>
      <c r="H33" s="43"/>
      <c r="I33" s="44"/>
      <c r="J33" s="45"/>
      <c r="K33" s="45"/>
      <c r="L33" s="53"/>
      <c r="M33" s="51"/>
      <c r="N33" s="52"/>
      <c r="O33" s="53"/>
      <c r="P33" s="53"/>
      <c r="Q33" s="51"/>
      <c r="R33" s="52"/>
      <c r="S33" s="45"/>
    </row>
    <row r="34" spans="1:19">
      <c r="A34" s="45"/>
      <c r="B34" s="25"/>
      <c r="C34" s="45"/>
      <c r="D34" s="45"/>
      <c r="E34" s="45"/>
      <c r="F34" s="45"/>
      <c r="G34" s="45"/>
      <c r="H34" s="43"/>
      <c r="I34" s="44"/>
      <c r="J34" s="45"/>
      <c r="K34" s="45"/>
      <c r="L34" s="53"/>
      <c r="M34" s="51"/>
      <c r="N34" s="52"/>
      <c r="O34" s="53"/>
      <c r="P34" s="53"/>
      <c r="Q34" s="51"/>
      <c r="R34" s="52"/>
      <c r="S34" s="45"/>
    </row>
    <row r="35" spans="1:19">
      <c r="A35" s="45"/>
      <c r="B35" s="25"/>
      <c r="C35" s="45"/>
      <c r="D35" s="45"/>
      <c r="E35" s="45"/>
      <c r="F35" s="45"/>
      <c r="G35" s="45"/>
      <c r="H35" s="43"/>
      <c r="I35" s="44"/>
      <c r="J35" s="45"/>
      <c r="K35" s="45"/>
      <c r="L35" s="53"/>
      <c r="M35" s="51"/>
      <c r="N35" s="52"/>
      <c r="O35" s="53"/>
      <c r="P35" s="53"/>
      <c r="Q35" s="51"/>
      <c r="R35" s="52"/>
      <c r="S35" s="45"/>
    </row>
    <row r="36" spans="1:19">
      <c r="A36" s="45"/>
      <c r="B36" s="25"/>
      <c r="C36" s="45"/>
      <c r="D36" s="45"/>
      <c r="E36" s="45"/>
      <c r="F36" s="45"/>
      <c r="G36" s="45"/>
      <c r="H36" s="43"/>
      <c r="I36" s="44"/>
      <c r="J36" s="45"/>
      <c r="K36" s="45"/>
      <c r="L36" s="53"/>
      <c r="M36" s="51"/>
      <c r="N36" s="52"/>
      <c r="O36" s="53"/>
      <c r="P36" s="53"/>
      <c r="Q36" s="51"/>
      <c r="R36" s="52"/>
      <c r="S36" s="45"/>
    </row>
    <row r="37" spans="1:19">
      <c r="A37" s="45"/>
      <c r="B37" s="25"/>
      <c r="C37" s="45"/>
      <c r="D37" s="45"/>
      <c r="E37" s="45"/>
      <c r="F37" s="45"/>
      <c r="G37" s="45"/>
      <c r="H37" s="43"/>
      <c r="I37" s="44"/>
      <c r="J37" s="45"/>
      <c r="K37" s="45"/>
      <c r="L37" s="53"/>
      <c r="M37" s="51"/>
      <c r="N37" s="52"/>
      <c r="O37" s="53"/>
      <c r="P37" s="53"/>
      <c r="Q37" s="51"/>
      <c r="R37" s="52"/>
      <c r="S37" s="45"/>
    </row>
    <row r="38" spans="1:19">
      <c r="A38" s="45"/>
      <c r="B38" s="25"/>
      <c r="C38" s="45"/>
      <c r="D38" s="45"/>
      <c r="E38" s="45"/>
      <c r="F38" s="45"/>
      <c r="G38" s="45"/>
      <c r="H38" s="43"/>
      <c r="I38" s="44"/>
      <c r="J38" s="45"/>
      <c r="K38" s="45"/>
      <c r="L38" s="53"/>
      <c r="M38" s="51"/>
      <c r="N38" s="52"/>
      <c r="O38" s="53"/>
      <c r="P38" s="53"/>
      <c r="Q38" s="51"/>
      <c r="R38" s="52"/>
      <c r="S38" s="45"/>
    </row>
    <row r="39" spans="1:19">
      <c r="A39" s="45"/>
      <c r="B39" s="25"/>
      <c r="C39" s="45"/>
      <c r="D39" s="45"/>
      <c r="E39" s="45"/>
      <c r="F39" s="45"/>
      <c r="G39" s="45"/>
      <c r="H39" s="43"/>
      <c r="I39" s="44"/>
      <c r="J39" s="45"/>
      <c r="K39" s="45"/>
      <c r="L39" s="53"/>
      <c r="M39" s="51"/>
      <c r="N39" s="52"/>
      <c r="O39" s="53"/>
      <c r="P39" s="53"/>
      <c r="Q39" s="51"/>
      <c r="R39" s="52"/>
      <c r="S39" s="45"/>
    </row>
    <row r="40" spans="1:19">
      <c r="A40" s="45"/>
      <c r="B40" s="25"/>
      <c r="C40" s="45"/>
      <c r="D40" s="45"/>
      <c r="E40" s="45"/>
      <c r="F40" s="45"/>
      <c r="G40" s="45"/>
      <c r="H40" s="43"/>
      <c r="I40" s="44"/>
      <c r="J40" s="45"/>
      <c r="K40" s="45"/>
      <c r="L40" s="53"/>
      <c r="M40" s="51"/>
      <c r="N40" s="52"/>
      <c r="O40" s="53"/>
      <c r="P40" s="53"/>
      <c r="Q40" s="51"/>
      <c r="R40" s="52"/>
      <c r="S40" s="45"/>
    </row>
    <row r="41" spans="1:19">
      <c r="A41" s="45"/>
      <c r="B41" s="25"/>
      <c r="C41" s="45"/>
      <c r="D41" s="45"/>
      <c r="E41" s="45"/>
      <c r="F41" s="45"/>
      <c r="G41" s="45"/>
      <c r="H41" s="43"/>
      <c r="I41" s="44"/>
      <c r="J41" s="45"/>
      <c r="K41" s="45"/>
      <c r="L41" s="53"/>
      <c r="M41" s="51"/>
      <c r="N41" s="52"/>
      <c r="O41" s="53"/>
      <c r="P41" s="53"/>
      <c r="Q41" s="51"/>
      <c r="R41" s="52"/>
      <c r="S41" s="45"/>
    </row>
  </sheetData>
  <mergeCells count="11">
    <mergeCell ref="P1:R1"/>
    <mergeCell ref="A2:E2"/>
    <mergeCell ref="H2:I2"/>
    <mergeCell ref="L2:N2"/>
    <mergeCell ref="P2:R2"/>
    <mergeCell ref="E5:E6"/>
    <mergeCell ref="A17:D17"/>
    <mergeCell ref="L17:O17"/>
    <mergeCell ref="A1:E1"/>
    <mergeCell ref="H1:I1"/>
    <mergeCell ref="L1:N1"/>
  </mergeCells>
  <conditionalFormatting sqref="A2:F3">
    <cfRule type="cellIs" dxfId="2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676CC-0E7E-4EF6-88E2-0F7D0C41A612}">
  <dimension ref="A1:S41"/>
  <sheetViews>
    <sheetView showGridLines="0" zoomScaleNormal="100" workbookViewId="0">
      <selection activeCell="E15" sqref="A15:E30"/>
    </sheetView>
  </sheetViews>
  <sheetFormatPr defaultColWidth="13.28515625" defaultRowHeight="15"/>
  <cols>
    <col min="1" max="1" width="15.28515625" style="38" bestFit="1" customWidth="1"/>
    <col min="2" max="2" width="13.85546875" style="38" customWidth="1"/>
    <col min="3" max="3" width="15" style="38" bestFit="1" customWidth="1"/>
    <col min="4" max="4" width="15.85546875" style="38" customWidth="1"/>
    <col min="5" max="5" width="17.5703125" style="38" bestFit="1" customWidth="1"/>
    <col min="6" max="6" width="17.5703125" style="38" customWidth="1"/>
    <col min="7" max="7" width="13.28515625" style="38" customWidth="1"/>
    <col min="8" max="8" width="21.42578125" style="38" bestFit="1" customWidth="1"/>
    <col min="9" max="9" width="14.28515625" style="38" bestFit="1" customWidth="1"/>
    <col min="10" max="12" width="9.140625" style="38" bestFit="1" customWidth="1"/>
    <col min="13" max="13" width="15.28515625" style="38" bestFit="1" customWidth="1"/>
    <col min="14" max="14" width="23.28515625" style="38" bestFit="1" customWidth="1"/>
    <col min="15" max="16384" width="13.28515625" style="38"/>
  </cols>
  <sheetData>
    <row r="1" spans="1:19" ht="33" customHeight="1">
      <c r="A1" s="98" t="s">
        <v>0</v>
      </c>
      <c r="B1" s="98"/>
      <c r="C1" s="98"/>
      <c r="D1" s="98"/>
      <c r="E1" s="98"/>
      <c r="F1" s="88"/>
      <c r="G1" s="39"/>
      <c r="H1" s="98" t="s">
        <v>1</v>
      </c>
      <c r="I1" s="98"/>
      <c r="J1" s="39"/>
      <c r="K1" s="39"/>
      <c r="L1" s="98" t="s">
        <v>2</v>
      </c>
      <c r="M1" s="98"/>
      <c r="N1" s="98"/>
      <c r="O1" s="39"/>
      <c r="P1" s="98" t="s">
        <v>3</v>
      </c>
      <c r="Q1" s="98"/>
      <c r="R1" s="98"/>
      <c r="S1" s="39"/>
    </row>
    <row r="2" spans="1:19" ht="18">
      <c r="A2" s="99">
        <f>E7+P2</f>
        <v>1956.8199999999997</v>
      </c>
      <c r="B2" s="99"/>
      <c r="C2" s="99"/>
      <c r="D2" s="99"/>
      <c r="E2" s="99"/>
      <c r="F2" s="89"/>
      <c r="G2" s="40"/>
      <c r="H2" s="100">
        <f>SUM(I4:I13)*-1</f>
        <v>-4257.6000000000004</v>
      </c>
      <c r="I2" s="100"/>
      <c r="J2" s="40"/>
      <c r="K2" s="40"/>
      <c r="L2" s="101">
        <f>SUM(M5:M12)*-1</f>
        <v>-1203.08</v>
      </c>
      <c r="M2" s="101"/>
      <c r="N2" s="101"/>
      <c r="O2" s="41"/>
      <c r="P2" s="102">
        <f>SUM(H2:N2)</f>
        <v>-5460.68</v>
      </c>
      <c r="Q2" s="102"/>
      <c r="R2" s="102"/>
      <c r="S2" s="40"/>
    </row>
    <row r="3" spans="1:19" ht="16.5" customHeight="1">
      <c r="A3" s="89"/>
      <c r="B3" s="89"/>
      <c r="C3" s="89"/>
      <c r="D3" s="89"/>
      <c r="E3" s="89"/>
      <c r="F3" s="89"/>
      <c r="G3" s="40"/>
      <c r="H3" s="90"/>
      <c r="I3" s="90"/>
      <c r="J3" s="42" t="s">
        <v>4</v>
      </c>
      <c r="K3" s="40"/>
      <c r="L3" s="91"/>
      <c r="M3" s="91"/>
      <c r="N3" s="91"/>
      <c r="O3" s="92"/>
      <c r="P3" s="92"/>
      <c r="Q3" s="92"/>
      <c r="R3" s="92"/>
      <c r="S3" s="40"/>
    </row>
    <row r="4" spans="1:19">
      <c r="A4" s="42"/>
      <c r="B4" s="42" t="s">
        <v>5</v>
      </c>
      <c r="C4" s="42" t="s">
        <v>6</v>
      </c>
      <c r="D4" s="42" t="s">
        <v>7</v>
      </c>
      <c r="E4" s="42" t="s">
        <v>8</v>
      </c>
      <c r="F4" s="42" t="s">
        <v>9</v>
      </c>
      <c r="G4" s="42"/>
      <c r="H4" s="43" t="s">
        <v>10</v>
      </c>
      <c r="I4" s="44">
        <v>1460</v>
      </c>
      <c r="J4" s="45" t="s">
        <v>11</v>
      </c>
      <c r="K4" s="42"/>
      <c r="L4" s="42" t="s">
        <v>12</v>
      </c>
      <c r="M4" s="42" t="s">
        <v>13</v>
      </c>
      <c r="N4" s="42" t="s">
        <v>14</v>
      </c>
      <c r="O4" s="42" t="s">
        <v>4</v>
      </c>
      <c r="P4" s="42"/>
      <c r="Q4" s="46" t="s">
        <v>15</v>
      </c>
      <c r="R4" s="47" t="s">
        <v>16</v>
      </c>
      <c r="S4" s="42"/>
    </row>
    <row r="5" spans="1:19">
      <c r="A5" s="48" t="s">
        <v>17</v>
      </c>
      <c r="B5" s="49">
        <v>3500</v>
      </c>
      <c r="C5" s="49">
        <f>B5-D5</f>
        <v>722</v>
      </c>
      <c r="D5" s="49">
        <v>2778</v>
      </c>
      <c r="E5" s="113"/>
      <c r="F5" s="50">
        <f>IF(A2&gt;0,A2/2,"R$ 0,00")-B19-B20-B21-B22-B23-B24</f>
        <v>978.40999999999985</v>
      </c>
      <c r="G5" s="45"/>
      <c r="H5" s="43" t="s">
        <v>18</v>
      </c>
      <c r="I5" s="44">
        <v>134.22999999999999</v>
      </c>
      <c r="J5" s="45" t="s">
        <v>11</v>
      </c>
      <c r="K5" s="45"/>
      <c r="L5" s="42">
        <v>4</v>
      </c>
      <c r="M5" s="51">
        <v>113.08</v>
      </c>
      <c r="N5" s="52" t="s">
        <v>54</v>
      </c>
      <c r="O5" s="45" t="s">
        <v>11</v>
      </c>
      <c r="P5" s="53"/>
      <c r="Q5" s="54">
        <f>SUMIF(J:J,"ok",I:I)+SUMIF(O:O,"ok",M:M)</f>
        <v>5460.68</v>
      </c>
      <c r="R5" s="55">
        <f>P2+Q5</f>
        <v>0</v>
      </c>
      <c r="S5" s="45"/>
    </row>
    <row r="6" spans="1:19">
      <c r="A6" s="48" t="s">
        <v>20</v>
      </c>
      <c r="B6" s="49">
        <v>6174.52</v>
      </c>
      <c r="C6" s="49">
        <f>B6-D6</f>
        <v>1535.0200000000004</v>
      </c>
      <c r="D6" s="49">
        <v>4639.5</v>
      </c>
      <c r="E6" s="113"/>
      <c r="F6" s="50">
        <f>IF(A2&gt;0,A2/2,"R$ 0,00")</f>
        <v>978.40999999999985</v>
      </c>
      <c r="G6" s="45"/>
      <c r="H6" s="43" t="s">
        <v>21</v>
      </c>
      <c r="I6" s="44">
        <v>146.47999999999999</v>
      </c>
      <c r="J6" s="45" t="s">
        <v>11</v>
      </c>
      <c r="K6" s="45"/>
      <c r="L6" s="42">
        <v>6</v>
      </c>
      <c r="M6" s="51">
        <v>500</v>
      </c>
      <c r="N6" s="52" t="s">
        <v>56</v>
      </c>
      <c r="O6" s="45" t="s">
        <v>11</v>
      </c>
      <c r="P6" s="53"/>
      <c r="Q6" s="51"/>
      <c r="R6" s="52"/>
      <c r="S6" s="45"/>
    </row>
    <row r="7" spans="1:19">
      <c r="A7" s="48" t="s">
        <v>3</v>
      </c>
      <c r="B7" s="56"/>
      <c r="C7" s="56"/>
      <c r="D7" s="57"/>
      <c r="E7" s="49">
        <f>D5+D6+E5</f>
        <v>7417.5</v>
      </c>
      <c r="F7" s="58"/>
      <c r="G7" s="45"/>
      <c r="H7" s="43" t="s">
        <v>41</v>
      </c>
      <c r="I7" s="44">
        <v>700</v>
      </c>
      <c r="J7" s="45" t="s">
        <v>11</v>
      </c>
      <c r="K7" s="45"/>
      <c r="L7" s="42">
        <v>1</v>
      </c>
      <c r="M7" s="51">
        <v>590</v>
      </c>
      <c r="N7" s="52" t="s">
        <v>49</v>
      </c>
      <c r="O7" s="45" t="s">
        <v>11</v>
      </c>
      <c r="P7" s="53"/>
      <c r="Q7" s="51"/>
      <c r="R7" s="52"/>
      <c r="S7" s="45"/>
    </row>
    <row r="8" spans="1:19">
      <c r="A8" s="48"/>
      <c r="B8" s="56"/>
      <c r="C8" s="56"/>
      <c r="D8" s="56"/>
      <c r="E8" s="49"/>
      <c r="F8" s="25"/>
      <c r="G8" s="45"/>
      <c r="H8" s="43" t="s">
        <v>46</v>
      </c>
      <c r="I8" s="44">
        <v>64.900000000000006</v>
      </c>
      <c r="J8" s="45" t="s">
        <v>11</v>
      </c>
      <c r="K8" s="45"/>
      <c r="L8" s="42"/>
      <c r="M8" s="51"/>
      <c r="N8" s="52"/>
      <c r="O8" s="61"/>
      <c r="P8" s="53"/>
      <c r="Q8" s="51"/>
      <c r="R8" s="52"/>
      <c r="S8" s="45"/>
    </row>
    <row r="9" spans="1:19">
      <c r="A9" s="25"/>
      <c r="B9" s="56"/>
      <c r="C9" s="56"/>
      <c r="D9" s="56"/>
      <c r="E9" s="56"/>
      <c r="F9" s="25"/>
      <c r="G9" s="45"/>
      <c r="H9" s="43" t="s">
        <v>44</v>
      </c>
      <c r="I9" s="44">
        <v>490.56</v>
      </c>
      <c r="J9" s="45" t="s">
        <v>11</v>
      </c>
      <c r="K9" s="45"/>
      <c r="L9" s="42"/>
      <c r="M9" s="51"/>
      <c r="N9" s="52"/>
      <c r="O9" s="53"/>
      <c r="P9" s="53"/>
      <c r="Q9" s="51"/>
      <c r="R9" s="52"/>
      <c r="S9" s="45"/>
    </row>
    <row r="10" spans="1:19">
      <c r="A10" s="25"/>
      <c r="B10" s="25"/>
      <c r="C10" s="25"/>
      <c r="D10" s="25"/>
      <c r="E10" s="25"/>
      <c r="F10" s="25"/>
      <c r="G10" s="45"/>
      <c r="H10" s="43" t="s">
        <v>33</v>
      </c>
      <c r="I10" s="44">
        <v>57.68</v>
      </c>
      <c r="J10" s="45" t="s">
        <v>11</v>
      </c>
      <c r="K10" s="45"/>
      <c r="L10" s="42"/>
      <c r="M10" s="51"/>
      <c r="N10" s="52"/>
      <c r="O10" s="53"/>
      <c r="P10" s="53"/>
      <c r="Q10" s="51"/>
      <c r="R10" s="52"/>
      <c r="S10" s="45"/>
    </row>
    <row r="11" spans="1:19">
      <c r="A11" s="48"/>
      <c r="B11" s="25"/>
      <c r="C11" s="25"/>
      <c r="D11" s="25"/>
      <c r="E11" s="25"/>
      <c r="F11" s="25"/>
      <c r="G11" s="45"/>
      <c r="H11" s="43" t="s">
        <v>38</v>
      </c>
      <c r="I11" s="44">
        <v>400</v>
      </c>
      <c r="J11" s="45" t="s">
        <v>11</v>
      </c>
      <c r="K11" s="45"/>
      <c r="L11" s="42"/>
      <c r="M11" s="51"/>
      <c r="N11" s="52"/>
      <c r="O11" s="53"/>
      <c r="P11" s="53"/>
      <c r="Q11" s="51"/>
      <c r="R11" s="52"/>
      <c r="S11" s="45"/>
    </row>
    <row r="12" spans="1:19">
      <c r="A12" s="48"/>
      <c r="B12" s="25"/>
      <c r="C12" s="25"/>
      <c r="D12" s="25"/>
      <c r="E12" s="25"/>
      <c r="F12" s="25"/>
      <c r="G12" s="45"/>
      <c r="H12" s="43" t="s">
        <v>47</v>
      </c>
      <c r="I12" s="44">
        <v>62</v>
      </c>
      <c r="J12" s="45" t="s">
        <v>11</v>
      </c>
      <c r="K12" s="45"/>
      <c r="L12" s="42"/>
      <c r="M12" s="51"/>
      <c r="N12" s="52"/>
      <c r="O12" s="53"/>
      <c r="P12" s="53"/>
      <c r="Q12" s="51"/>
      <c r="R12" s="52"/>
      <c r="S12" s="45"/>
    </row>
    <row r="13" spans="1:19">
      <c r="A13" s="25"/>
      <c r="B13" s="25"/>
      <c r="C13" s="25"/>
      <c r="D13" s="25"/>
      <c r="E13" s="25"/>
      <c r="F13" s="25"/>
      <c r="G13" s="45"/>
      <c r="H13" s="43" t="s">
        <v>61</v>
      </c>
      <c r="I13" s="44">
        <f>E7*0.1</f>
        <v>741.75</v>
      </c>
      <c r="J13" s="45" t="s">
        <v>11</v>
      </c>
      <c r="K13" s="45"/>
      <c r="L13" s="53"/>
      <c r="M13" s="51"/>
      <c r="N13" s="52"/>
      <c r="O13" s="53"/>
      <c r="P13" s="53"/>
      <c r="Q13" s="51"/>
      <c r="R13" s="52"/>
      <c r="S13" s="45"/>
    </row>
    <row r="14" spans="1:19">
      <c r="A14" s="25"/>
      <c r="B14" s="25"/>
      <c r="C14" s="25"/>
      <c r="D14" s="25"/>
      <c r="E14" s="56"/>
      <c r="F14" s="25"/>
      <c r="G14" s="45"/>
      <c r="H14" s="43"/>
      <c r="I14" s="44"/>
      <c r="J14" s="45"/>
      <c r="K14" s="45"/>
      <c r="L14" s="42" t="s">
        <v>3</v>
      </c>
      <c r="M14" s="55">
        <f>((M5*L5)+(M6*L6)+(M7*L7)+(M8*L8)+(M9*L9)+(M10*L10)+(M11+L11)+(M12+L12))*-1</f>
        <v>-4042.32</v>
      </c>
      <c r="N14" s="52"/>
      <c r="O14" s="53"/>
      <c r="P14" s="53"/>
      <c r="Q14" s="51"/>
      <c r="R14" s="52"/>
      <c r="S14" s="45"/>
    </row>
    <row r="15" spans="1:19">
      <c r="A15" s="25"/>
      <c r="B15" s="25"/>
      <c r="C15" s="25"/>
      <c r="D15" s="25"/>
      <c r="E15" s="56"/>
      <c r="F15" s="25"/>
      <c r="G15" s="45"/>
      <c r="H15" s="43"/>
      <c r="I15" s="44"/>
      <c r="J15" s="45"/>
      <c r="K15" s="45"/>
      <c r="L15" s="53"/>
      <c r="M15" s="51"/>
      <c r="N15" s="52"/>
      <c r="O15" s="53"/>
      <c r="P15" s="53"/>
      <c r="Q15" s="51"/>
      <c r="R15" s="52"/>
      <c r="S15" s="45"/>
    </row>
    <row r="16" spans="1:19">
      <c r="A16" s="25"/>
      <c r="B16" s="25"/>
      <c r="C16" s="25"/>
      <c r="D16" s="25"/>
      <c r="E16" s="56"/>
      <c r="F16" s="25"/>
      <c r="G16" s="45"/>
      <c r="H16" s="43"/>
      <c r="I16" s="44"/>
      <c r="J16" s="45"/>
      <c r="K16" s="45"/>
      <c r="L16" s="53"/>
      <c r="M16" s="51"/>
      <c r="N16" s="52"/>
      <c r="O16" s="53"/>
      <c r="P16" s="53"/>
      <c r="Q16" s="51"/>
      <c r="R16" s="52"/>
      <c r="S16" s="45"/>
    </row>
    <row r="17" spans="1:19" ht="30.75" customHeight="1">
      <c r="A17" s="112"/>
      <c r="B17" s="112"/>
      <c r="C17" s="112"/>
      <c r="D17" s="112"/>
      <c r="E17" s="56"/>
      <c r="F17" s="25"/>
      <c r="G17" s="45"/>
      <c r="H17" s="43"/>
      <c r="I17" s="44"/>
      <c r="J17" s="45"/>
      <c r="K17" s="45"/>
      <c r="L17" s="111"/>
      <c r="M17" s="111"/>
      <c r="N17" s="111"/>
      <c r="O17" s="111"/>
      <c r="P17" s="53"/>
      <c r="Q17" s="51"/>
      <c r="R17" s="52"/>
      <c r="S17" s="45"/>
    </row>
    <row r="18" spans="1:19">
      <c r="A18" s="42"/>
      <c r="B18" s="42"/>
      <c r="C18" s="42"/>
      <c r="D18" s="42"/>
      <c r="E18" s="56"/>
      <c r="F18" s="25"/>
      <c r="G18" s="45"/>
      <c r="H18" s="43"/>
      <c r="I18" s="44"/>
      <c r="J18" s="45"/>
      <c r="K18" s="45"/>
      <c r="L18" s="42"/>
      <c r="M18" s="42"/>
      <c r="N18" s="42"/>
      <c r="O18" s="42"/>
      <c r="P18" s="53"/>
      <c r="Q18" s="51"/>
      <c r="R18" s="52"/>
      <c r="S18" s="45"/>
    </row>
    <row r="19" spans="1:19">
      <c r="A19" s="42"/>
      <c r="B19" s="51"/>
      <c r="C19" s="52"/>
      <c r="D19" s="53"/>
      <c r="E19" s="56"/>
      <c r="F19" s="25"/>
      <c r="G19" s="45"/>
      <c r="H19" s="43"/>
      <c r="I19" s="44"/>
      <c r="J19" s="45"/>
      <c r="K19" s="45"/>
      <c r="L19" s="42"/>
      <c r="M19" s="51"/>
      <c r="N19" s="52"/>
      <c r="O19" s="53"/>
      <c r="P19" s="53"/>
      <c r="Q19" s="51"/>
      <c r="R19" s="52"/>
      <c r="S19" s="45"/>
    </row>
    <row r="20" spans="1:19">
      <c r="A20" s="42"/>
      <c r="B20" s="51"/>
      <c r="C20" s="52"/>
      <c r="D20" s="53"/>
      <c r="E20" s="56"/>
      <c r="F20" s="25"/>
      <c r="G20" s="45"/>
      <c r="H20" s="43"/>
      <c r="I20" s="44"/>
      <c r="J20" s="45"/>
      <c r="K20" s="45"/>
      <c r="L20" s="42"/>
      <c r="M20" s="51"/>
      <c r="N20" s="52"/>
      <c r="O20" s="53"/>
      <c r="P20" s="53"/>
      <c r="Q20" s="51"/>
      <c r="R20" s="52"/>
      <c r="S20" s="45"/>
    </row>
    <row r="21" spans="1:19">
      <c r="A21" s="42"/>
      <c r="B21" s="51"/>
      <c r="C21" s="52"/>
      <c r="D21" s="53"/>
      <c r="E21" s="56"/>
      <c r="F21" s="25"/>
      <c r="G21" s="45"/>
      <c r="H21" s="43"/>
      <c r="I21" s="44"/>
      <c r="J21" s="45"/>
      <c r="K21" s="45"/>
      <c r="L21" s="42"/>
      <c r="M21" s="51"/>
      <c r="N21" s="52"/>
      <c r="O21" s="53"/>
      <c r="P21" s="53"/>
      <c r="Q21" s="51"/>
      <c r="R21" s="52"/>
      <c r="S21" s="45"/>
    </row>
    <row r="22" spans="1:19">
      <c r="A22" s="42"/>
      <c r="B22" s="51"/>
      <c r="C22" s="52"/>
      <c r="D22" s="25"/>
      <c r="E22" s="25"/>
      <c r="F22" s="25"/>
      <c r="G22" s="45"/>
      <c r="H22" s="43"/>
      <c r="I22" s="44"/>
      <c r="J22" s="45"/>
      <c r="K22" s="45"/>
      <c r="L22" s="42"/>
      <c r="M22" s="51"/>
      <c r="N22" s="52"/>
      <c r="O22" s="53"/>
      <c r="P22" s="53"/>
      <c r="Q22" s="51"/>
      <c r="R22" s="52"/>
      <c r="S22" s="45"/>
    </row>
    <row r="23" spans="1:19">
      <c r="A23" s="42"/>
      <c r="B23" s="25"/>
      <c r="C23" s="25"/>
      <c r="D23" s="25"/>
      <c r="E23" s="25"/>
      <c r="F23" s="25"/>
      <c r="G23" s="45"/>
      <c r="H23" s="43"/>
      <c r="I23" s="44"/>
      <c r="J23" s="45"/>
      <c r="K23" s="45"/>
      <c r="L23" s="42"/>
      <c r="M23" s="51"/>
      <c r="N23" s="52"/>
      <c r="O23" s="53"/>
      <c r="P23" s="53"/>
      <c r="Q23" s="51"/>
      <c r="R23" s="52"/>
      <c r="S23" s="45"/>
    </row>
    <row r="24" spans="1:19">
      <c r="A24" s="42"/>
      <c r="B24" s="25"/>
      <c r="C24" s="25"/>
      <c r="D24" s="25"/>
      <c r="E24" s="25"/>
      <c r="F24" s="25"/>
      <c r="G24" s="45"/>
      <c r="H24" s="43"/>
      <c r="I24" s="44"/>
      <c r="J24" s="45"/>
      <c r="K24" s="45"/>
      <c r="L24" s="42"/>
      <c r="M24" s="51"/>
      <c r="N24" s="52"/>
      <c r="O24" s="59"/>
      <c r="P24" s="53"/>
      <c r="Q24" s="51"/>
      <c r="R24" s="52"/>
      <c r="S24" s="45"/>
    </row>
    <row r="25" spans="1:19">
      <c r="A25" s="42"/>
      <c r="B25" s="25"/>
      <c r="C25" s="25"/>
      <c r="D25" s="25"/>
      <c r="E25" s="25"/>
      <c r="F25" s="25"/>
      <c r="G25" s="45"/>
      <c r="H25" s="43"/>
      <c r="I25" s="44"/>
      <c r="J25" s="45"/>
      <c r="K25" s="45"/>
      <c r="L25" s="42"/>
      <c r="M25" s="51"/>
      <c r="N25" s="52"/>
      <c r="O25" s="53"/>
      <c r="P25" s="53"/>
      <c r="Q25" s="51"/>
      <c r="R25" s="52"/>
      <c r="S25" s="45"/>
    </row>
    <row r="26" spans="1:19">
      <c r="A26" s="42"/>
      <c r="B26" s="25"/>
      <c r="C26" s="25"/>
      <c r="D26" s="25"/>
      <c r="E26" s="25"/>
      <c r="F26" s="25"/>
      <c r="G26" s="45"/>
      <c r="H26" s="43"/>
      <c r="I26" s="44"/>
      <c r="J26" s="45"/>
      <c r="K26" s="45"/>
      <c r="L26" s="42"/>
      <c r="M26" s="51"/>
      <c r="N26" s="52"/>
      <c r="O26" s="59"/>
      <c r="P26" s="53"/>
      <c r="Q26" s="51"/>
      <c r="R26" s="52"/>
      <c r="S26" s="45"/>
    </row>
    <row r="27" spans="1:19">
      <c r="A27" s="58"/>
      <c r="B27" s="55"/>
      <c r="C27" s="25"/>
      <c r="D27" s="25"/>
      <c r="E27" s="25"/>
      <c r="F27" s="25"/>
      <c r="G27" s="45"/>
      <c r="H27" s="43"/>
      <c r="I27" s="44"/>
      <c r="J27" s="45"/>
      <c r="K27" s="45"/>
      <c r="L27" s="42"/>
      <c r="M27" s="51"/>
      <c r="N27" s="52"/>
      <c r="O27" s="53"/>
      <c r="P27" s="53"/>
      <c r="Q27" s="51"/>
      <c r="R27" s="52"/>
      <c r="S27" s="45"/>
    </row>
    <row r="28" spans="1:19">
      <c r="A28" s="58"/>
      <c r="B28" s="55"/>
      <c r="C28" s="25"/>
      <c r="D28" s="25"/>
      <c r="E28" s="25"/>
      <c r="F28" s="25"/>
      <c r="G28" s="45"/>
      <c r="H28" s="43"/>
      <c r="I28" s="44"/>
      <c r="J28" s="45"/>
      <c r="K28" s="45"/>
      <c r="L28" s="42"/>
      <c r="M28" s="51"/>
      <c r="N28" s="52"/>
      <c r="O28" s="53"/>
      <c r="P28" s="53"/>
      <c r="Q28" s="51"/>
      <c r="R28" s="52"/>
      <c r="S28" s="45"/>
    </row>
    <row r="29" spans="1:19">
      <c r="A29" s="45"/>
      <c r="B29" s="25"/>
      <c r="C29" s="45"/>
      <c r="D29" s="45"/>
      <c r="E29" s="45"/>
      <c r="F29" s="45"/>
      <c r="G29" s="45"/>
      <c r="H29" s="43"/>
      <c r="I29" s="44"/>
      <c r="J29" s="45"/>
      <c r="K29" s="45"/>
      <c r="L29" s="42"/>
      <c r="M29" s="51"/>
      <c r="N29" s="52"/>
      <c r="O29" s="53"/>
      <c r="P29" s="53"/>
      <c r="Q29" s="51"/>
      <c r="R29" s="52"/>
      <c r="S29" s="45"/>
    </row>
    <row r="30" spans="1:19">
      <c r="A30" s="45"/>
      <c r="B30" s="25"/>
      <c r="C30" s="45"/>
      <c r="D30" s="45"/>
      <c r="E30" s="45"/>
      <c r="F30" s="45"/>
      <c r="G30" s="45"/>
      <c r="H30" s="43"/>
      <c r="I30" s="44"/>
      <c r="J30" s="45"/>
      <c r="K30" s="45"/>
      <c r="L30" s="42"/>
      <c r="M30" s="51"/>
      <c r="N30" s="52"/>
      <c r="O30" s="53"/>
      <c r="P30" s="53"/>
      <c r="Q30" s="51"/>
      <c r="R30" s="52"/>
      <c r="S30" s="45"/>
    </row>
    <row r="31" spans="1:19">
      <c r="A31" s="45"/>
      <c r="B31" s="25"/>
      <c r="C31" s="45"/>
      <c r="D31" s="45"/>
      <c r="E31" s="45"/>
      <c r="F31" s="45"/>
      <c r="G31" s="45"/>
      <c r="H31" s="43"/>
      <c r="I31" s="44"/>
      <c r="J31" s="45"/>
      <c r="K31" s="45"/>
      <c r="L31" s="42"/>
      <c r="M31" s="51"/>
      <c r="N31" s="52"/>
      <c r="O31" s="53"/>
      <c r="P31" s="53"/>
      <c r="Q31" s="51"/>
      <c r="R31" s="52"/>
      <c r="S31" s="45"/>
    </row>
    <row r="32" spans="1:19">
      <c r="A32" s="45"/>
      <c r="B32" s="25"/>
      <c r="C32" s="45"/>
      <c r="D32" s="45"/>
      <c r="E32" s="45"/>
      <c r="F32" s="45"/>
      <c r="G32" s="45"/>
      <c r="H32" s="43"/>
      <c r="I32" s="44"/>
      <c r="J32" s="45"/>
      <c r="K32" s="45"/>
      <c r="L32" s="53"/>
      <c r="M32" s="51"/>
      <c r="N32" s="52"/>
      <c r="O32" s="53"/>
      <c r="P32" s="53"/>
      <c r="Q32" s="51"/>
      <c r="R32" s="52"/>
      <c r="S32" s="45"/>
    </row>
    <row r="33" spans="1:19">
      <c r="A33" s="45"/>
      <c r="B33" s="25"/>
      <c r="C33" s="45"/>
      <c r="D33" s="45"/>
      <c r="E33" s="45"/>
      <c r="F33" s="45"/>
      <c r="G33" s="45"/>
      <c r="H33" s="43"/>
      <c r="I33" s="44"/>
      <c r="J33" s="45"/>
      <c r="K33" s="45"/>
      <c r="L33" s="53"/>
      <c r="M33" s="51"/>
      <c r="N33" s="52"/>
      <c r="O33" s="53"/>
      <c r="P33" s="53"/>
      <c r="Q33" s="51"/>
      <c r="R33" s="52"/>
      <c r="S33" s="45"/>
    </row>
    <row r="34" spans="1:19">
      <c r="A34" s="45"/>
      <c r="B34" s="25"/>
      <c r="C34" s="45"/>
      <c r="D34" s="45"/>
      <c r="E34" s="45"/>
      <c r="F34" s="45"/>
      <c r="G34" s="45"/>
      <c r="H34" s="43"/>
      <c r="I34" s="44"/>
      <c r="J34" s="45"/>
      <c r="K34" s="45"/>
      <c r="L34" s="53"/>
      <c r="M34" s="51"/>
      <c r="N34" s="52"/>
      <c r="O34" s="53"/>
      <c r="P34" s="53"/>
      <c r="Q34" s="51"/>
      <c r="R34" s="52"/>
      <c r="S34" s="45"/>
    </row>
    <row r="35" spans="1:19">
      <c r="A35" s="45"/>
      <c r="B35" s="25"/>
      <c r="C35" s="45"/>
      <c r="D35" s="45"/>
      <c r="E35" s="45"/>
      <c r="F35" s="45"/>
      <c r="G35" s="45"/>
      <c r="H35" s="43"/>
      <c r="I35" s="44"/>
      <c r="J35" s="45"/>
      <c r="K35" s="45"/>
      <c r="L35" s="53"/>
      <c r="M35" s="51"/>
      <c r="N35" s="52"/>
      <c r="O35" s="53"/>
      <c r="P35" s="53"/>
      <c r="Q35" s="51"/>
      <c r="R35" s="52"/>
      <c r="S35" s="45"/>
    </row>
    <row r="36" spans="1:19">
      <c r="A36" s="45"/>
      <c r="B36" s="25"/>
      <c r="C36" s="45"/>
      <c r="D36" s="45"/>
      <c r="E36" s="45"/>
      <c r="F36" s="45"/>
      <c r="G36" s="45"/>
      <c r="H36" s="43"/>
      <c r="I36" s="44"/>
      <c r="J36" s="45"/>
      <c r="K36" s="45"/>
      <c r="L36" s="53"/>
      <c r="M36" s="51"/>
      <c r="N36" s="52"/>
      <c r="O36" s="53"/>
      <c r="P36" s="53"/>
      <c r="Q36" s="51"/>
      <c r="R36" s="52"/>
      <c r="S36" s="45"/>
    </row>
    <row r="37" spans="1:19">
      <c r="A37" s="45"/>
      <c r="B37" s="25"/>
      <c r="C37" s="45"/>
      <c r="D37" s="45"/>
      <c r="E37" s="45"/>
      <c r="F37" s="45"/>
      <c r="G37" s="45"/>
      <c r="H37" s="43"/>
      <c r="I37" s="44"/>
      <c r="J37" s="45"/>
      <c r="K37" s="45"/>
      <c r="L37" s="53"/>
      <c r="M37" s="51"/>
      <c r="N37" s="52"/>
      <c r="O37" s="53"/>
      <c r="P37" s="53"/>
      <c r="Q37" s="51"/>
      <c r="R37" s="52"/>
      <c r="S37" s="45"/>
    </row>
    <row r="38" spans="1:19">
      <c r="A38" s="45"/>
      <c r="B38" s="25"/>
      <c r="C38" s="45"/>
      <c r="D38" s="45"/>
      <c r="E38" s="45"/>
      <c r="F38" s="45"/>
      <c r="G38" s="45"/>
      <c r="H38" s="43"/>
      <c r="I38" s="44"/>
      <c r="J38" s="45"/>
      <c r="K38" s="45"/>
      <c r="L38" s="53"/>
      <c r="M38" s="51"/>
      <c r="N38" s="52"/>
      <c r="O38" s="53"/>
      <c r="P38" s="53"/>
      <c r="Q38" s="51"/>
      <c r="R38" s="52"/>
      <c r="S38" s="45"/>
    </row>
    <row r="39" spans="1:19">
      <c r="A39" s="45"/>
      <c r="B39" s="25"/>
      <c r="C39" s="45"/>
      <c r="D39" s="45"/>
      <c r="E39" s="45"/>
      <c r="F39" s="45"/>
      <c r="G39" s="45"/>
      <c r="H39" s="43"/>
      <c r="I39" s="44"/>
      <c r="J39" s="45"/>
      <c r="K39" s="45"/>
      <c r="L39" s="53"/>
      <c r="M39" s="51"/>
      <c r="N39" s="52"/>
      <c r="O39" s="53"/>
      <c r="P39" s="53"/>
      <c r="Q39" s="51"/>
      <c r="R39" s="52"/>
      <c r="S39" s="45"/>
    </row>
    <row r="40" spans="1:19">
      <c r="A40" s="45"/>
      <c r="B40" s="25"/>
      <c r="C40" s="45"/>
      <c r="D40" s="45"/>
      <c r="E40" s="45"/>
      <c r="F40" s="45"/>
      <c r="G40" s="45"/>
      <c r="H40" s="43"/>
      <c r="I40" s="44"/>
      <c r="J40" s="45"/>
      <c r="K40" s="45"/>
      <c r="L40" s="53"/>
      <c r="M40" s="51"/>
      <c r="N40" s="52"/>
      <c r="O40" s="53"/>
      <c r="P40" s="53"/>
      <c r="Q40" s="51"/>
      <c r="R40" s="52"/>
      <c r="S40" s="45"/>
    </row>
    <row r="41" spans="1:19">
      <c r="A41" s="45"/>
      <c r="B41" s="25"/>
      <c r="C41" s="45"/>
      <c r="D41" s="45"/>
      <c r="E41" s="45"/>
      <c r="F41" s="45"/>
      <c r="G41" s="45"/>
      <c r="H41" s="43"/>
      <c r="I41" s="44"/>
      <c r="J41" s="45"/>
      <c r="K41" s="45"/>
      <c r="L41" s="53"/>
      <c r="M41" s="51"/>
      <c r="N41" s="52"/>
      <c r="O41" s="53"/>
      <c r="P41" s="53"/>
      <c r="Q41" s="51"/>
      <c r="R41" s="52"/>
      <c r="S41" s="45"/>
    </row>
  </sheetData>
  <mergeCells count="11">
    <mergeCell ref="P1:R1"/>
    <mergeCell ref="A2:E2"/>
    <mergeCell ref="H2:I2"/>
    <mergeCell ref="L2:N2"/>
    <mergeCell ref="P2:R2"/>
    <mergeCell ref="E5:E6"/>
    <mergeCell ref="A17:D17"/>
    <mergeCell ref="L17:O17"/>
    <mergeCell ref="A1:E1"/>
    <mergeCell ref="H1:I1"/>
    <mergeCell ref="L1:N1"/>
  </mergeCells>
  <conditionalFormatting sqref="A2:F3">
    <cfRule type="cellIs" dxfId="1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3025F-2AD6-4E98-AB4E-498A77FC97B3}">
  <dimension ref="A1:S41"/>
  <sheetViews>
    <sheetView showGridLines="0" tabSelected="1" zoomScaleNormal="100" workbookViewId="0">
      <selection activeCell="D9" sqref="A9:D17"/>
    </sheetView>
  </sheetViews>
  <sheetFormatPr defaultColWidth="13.28515625" defaultRowHeight="15"/>
  <cols>
    <col min="1" max="1" width="15.28515625" style="38" bestFit="1" customWidth="1"/>
    <col min="2" max="2" width="13.85546875" style="38" customWidth="1"/>
    <col min="3" max="3" width="15" style="38" bestFit="1" customWidth="1"/>
    <col min="4" max="4" width="15.85546875" style="38" customWidth="1"/>
    <col min="5" max="5" width="17.5703125" style="38" bestFit="1" customWidth="1"/>
    <col min="6" max="6" width="17.5703125" style="38" customWidth="1"/>
    <col min="7" max="7" width="13.28515625" style="38" customWidth="1"/>
    <col min="8" max="8" width="21.42578125" style="38" bestFit="1" customWidth="1"/>
    <col min="9" max="9" width="14.28515625" style="38" bestFit="1" customWidth="1"/>
    <col min="10" max="12" width="9.140625" style="38" bestFit="1" customWidth="1"/>
    <col min="13" max="13" width="15.28515625" style="38" bestFit="1" customWidth="1"/>
    <col min="14" max="14" width="23.28515625" style="38" bestFit="1" customWidth="1"/>
    <col min="15" max="16384" width="13.28515625" style="38"/>
  </cols>
  <sheetData>
    <row r="1" spans="1:19" ht="33" customHeight="1">
      <c r="A1" s="98" t="s">
        <v>0</v>
      </c>
      <c r="B1" s="98"/>
      <c r="C1" s="98"/>
      <c r="D1" s="98"/>
      <c r="E1" s="98"/>
      <c r="F1" s="88"/>
      <c r="G1" s="39"/>
      <c r="H1" s="98" t="s">
        <v>1</v>
      </c>
      <c r="I1" s="98"/>
      <c r="J1" s="39"/>
      <c r="K1" s="39"/>
      <c r="L1" s="98" t="s">
        <v>2</v>
      </c>
      <c r="M1" s="98"/>
      <c r="N1" s="98"/>
      <c r="O1" s="39"/>
      <c r="P1" s="98" t="s">
        <v>3</v>
      </c>
      <c r="Q1" s="98"/>
      <c r="R1" s="98"/>
      <c r="S1" s="39"/>
    </row>
    <row r="2" spans="1:19" ht="18">
      <c r="A2" s="99">
        <f>E7+P2</f>
        <v>2119.3380000000006</v>
      </c>
      <c r="B2" s="99"/>
      <c r="C2" s="99"/>
      <c r="D2" s="99"/>
      <c r="E2" s="99"/>
      <c r="F2" s="89"/>
      <c r="G2" s="40"/>
      <c r="H2" s="100">
        <f>SUM(I4:I13)*-1</f>
        <v>-4275.232</v>
      </c>
      <c r="I2" s="100"/>
      <c r="J2" s="40"/>
      <c r="K2" s="40"/>
      <c r="L2" s="101">
        <f>SUM(M5:M12)*-1</f>
        <v>-1212.1500000000001</v>
      </c>
      <c r="M2" s="101"/>
      <c r="N2" s="101"/>
      <c r="O2" s="41"/>
      <c r="P2" s="102">
        <f>SUM(H2:N2)</f>
        <v>-5487.3819999999996</v>
      </c>
      <c r="Q2" s="102"/>
      <c r="R2" s="102"/>
      <c r="S2" s="40"/>
    </row>
    <row r="3" spans="1:19" ht="16.5" customHeight="1">
      <c r="A3" s="89"/>
      <c r="B3" s="89"/>
      <c r="C3" s="89"/>
      <c r="D3" s="89"/>
      <c r="E3" s="89"/>
      <c r="F3" s="89"/>
      <c r="G3" s="40"/>
      <c r="H3" s="90"/>
      <c r="I3" s="90"/>
      <c r="J3" s="42" t="s">
        <v>4</v>
      </c>
      <c r="K3" s="40"/>
      <c r="L3" s="91"/>
      <c r="M3" s="91"/>
      <c r="N3" s="91"/>
      <c r="O3" s="92"/>
      <c r="P3" s="92"/>
      <c r="Q3" s="92"/>
      <c r="R3" s="92"/>
      <c r="S3" s="40"/>
    </row>
    <row r="4" spans="1:19">
      <c r="A4" s="62"/>
      <c r="B4" s="62" t="s">
        <v>5</v>
      </c>
      <c r="C4" s="62" t="s">
        <v>6</v>
      </c>
      <c r="D4" s="62" t="s">
        <v>7</v>
      </c>
      <c r="E4" s="62" t="s">
        <v>8</v>
      </c>
      <c r="F4" s="62" t="s">
        <v>9</v>
      </c>
      <c r="G4" s="62"/>
      <c r="H4" s="63" t="s">
        <v>10</v>
      </c>
      <c r="I4" s="64">
        <v>1460</v>
      </c>
      <c r="J4" s="65" t="s">
        <v>11</v>
      </c>
      <c r="K4" s="62"/>
      <c r="L4" s="62" t="s">
        <v>12</v>
      </c>
      <c r="M4" s="62" t="s">
        <v>13</v>
      </c>
      <c r="N4" s="62" t="s">
        <v>14</v>
      </c>
      <c r="O4" s="62" t="s">
        <v>4</v>
      </c>
      <c r="P4" s="62"/>
      <c r="Q4" s="66" t="s">
        <v>15</v>
      </c>
      <c r="R4" s="67" t="s">
        <v>16</v>
      </c>
      <c r="S4" s="42"/>
    </row>
    <row r="5" spans="1:19">
      <c r="A5" s="68" t="s">
        <v>17</v>
      </c>
      <c r="B5" s="69">
        <v>3636</v>
      </c>
      <c r="C5" s="69">
        <f>B5-D5</f>
        <v>636</v>
      </c>
      <c r="D5" s="69">
        <v>3000</v>
      </c>
      <c r="E5" s="95"/>
      <c r="F5" s="70">
        <f>IF(A2&gt;0,A2/2,"R$ 0,00")-B19-B20-B21-B22-B23-B24</f>
        <v>1059.6690000000003</v>
      </c>
      <c r="G5" s="65"/>
      <c r="H5" s="63" t="s">
        <v>18</v>
      </c>
      <c r="I5" s="64">
        <v>134.22999999999999</v>
      </c>
      <c r="J5" s="65" t="s">
        <v>11</v>
      </c>
      <c r="K5" s="65"/>
      <c r="L5" s="62">
        <v>3</v>
      </c>
      <c r="M5" s="71">
        <v>113.08</v>
      </c>
      <c r="N5" s="72" t="s">
        <v>54</v>
      </c>
      <c r="O5" s="65" t="s">
        <v>11</v>
      </c>
      <c r="P5" s="73"/>
      <c r="Q5" s="74">
        <f>SUMIF(J:J,"ok",I:I)+SUMIF(O:O,"ok",M:M)</f>
        <v>5487.3819999999996</v>
      </c>
      <c r="R5" s="75">
        <f>P2+Q5</f>
        <v>0</v>
      </c>
      <c r="S5" s="45"/>
    </row>
    <row r="6" spans="1:19">
      <c r="A6" s="68" t="s">
        <v>20</v>
      </c>
      <c r="B6" s="69">
        <v>6174.52</v>
      </c>
      <c r="C6" s="69">
        <f>B6-D6</f>
        <v>1567.8000000000002</v>
      </c>
      <c r="D6" s="69">
        <v>4606.72</v>
      </c>
      <c r="E6" s="95"/>
      <c r="F6" s="70">
        <f>IF(A2&gt;0,A2/2,"R$ 0,00")</f>
        <v>1059.6690000000003</v>
      </c>
      <c r="G6" s="65"/>
      <c r="H6" s="63" t="s">
        <v>21</v>
      </c>
      <c r="I6" s="64">
        <v>129.88999999999999</v>
      </c>
      <c r="J6" s="65" t="s">
        <v>11</v>
      </c>
      <c r="K6" s="65"/>
      <c r="L6" s="62">
        <v>5</v>
      </c>
      <c r="M6" s="71">
        <v>500</v>
      </c>
      <c r="N6" s="72" t="s">
        <v>56</v>
      </c>
      <c r="O6" s="65" t="s">
        <v>11</v>
      </c>
      <c r="P6" s="73"/>
      <c r="Q6" s="71"/>
      <c r="R6" s="72"/>
      <c r="S6" s="45"/>
    </row>
    <row r="7" spans="1:19">
      <c r="A7" s="68" t="s">
        <v>3</v>
      </c>
      <c r="B7" s="76"/>
      <c r="C7" s="76"/>
      <c r="D7" s="77"/>
      <c r="E7" s="69">
        <f>D5+D6+E5</f>
        <v>7606.72</v>
      </c>
      <c r="F7" s="94"/>
      <c r="G7" s="65"/>
      <c r="H7" s="63" t="s">
        <v>25</v>
      </c>
      <c r="I7" s="64">
        <v>700</v>
      </c>
      <c r="J7" s="65" t="s">
        <v>11</v>
      </c>
      <c r="K7" s="65"/>
      <c r="L7" s="62">
        <v>1</v>
      </c>
      <c r="M7" s="71">
        <v>218.72</v>
      </c>
      <c r="N7" s="72" t="s">
        <v>62</v>
      </c>
      <c r="O7" s="65" t="s">
        <v>11</v>
      </c>
      <c r="P7" s="73"/>
      <c r="Q7" s="71"/>
      <c r="R7" s="72"/>
      <c r="S7" s="45"/>
    </row>
    <row r="8" spans="1:19">
      <c r="A8" s="68"/>
      <c r="B8" s="76"/>
      <c r="C8" s="76"/>
      <c r="D8" s="76"/>
      <c r="E8" s="69"/>
      <c r="F8" s="78"/>
      <c r="G8" s="65"/>
      <c r="H8" s="63" t="s">
        <v>46</v>
      </c>
      <c r="I8" s="64">
        <v>64.900000000000006</v>
      </c>
      <c r="J8" s="65" t="s">
        <v>11</v>
      </c>
      <c r="K8" s="65"/>
      <c r="L8" s="62">
        <v>1</v>
      </c>
      <c r="M8" s="71">
        <v>278.5</v>
      </c>
      <c r="N8" s="72" t="s">
        <v>49</v>
      </c>
      <c r="O8" s="79" t="s">
        <v>11</v>
      </c>
      <c r="P8" s="73"/>
      <c r="Q8" s="71"/>
      <c r="R8" s="72"/>
      <c r="S8" s="45"/>
    </row>
    <row r="9" spans="1:19">
      <c r="A9" s="78"/>
      <c r="B9" s="76"/>
      <c r="C9" s="76"/>
      <c r="D9" s="76"/>
      <c r="E9" s="76"/>
      <c r="F9" s="78"/>
      <c r="G9" s="65"/>
      <c r="H9" s="63" t="s">
        <v>44</v>
      </c>
      <c r="I9" s="64">
        <v>485.82</v>
      </c>
      <c r="J9" s="65" t="s">
        <v>11</v>
      </c>
      <c r="K9" s="65"/>
      <c r="L9" s="62">
        <v>1</v>
      </c>
      <c r="M9" s="71">
        <f>51.85+50</f>
        <v>101.85</v>
      </c>
      <c r="N9" s="72" t="s">
        <v>63</v>
      </c>
      <c r="O9" s="79" t="s">
        <v>11</v>
      </c>
      <c r="P9" s="73"/>
      <c r="Q9" s="71"/>
      <c r="R9" s="72"/>
      <c r="S9" s="45"/>
    </row>
    <row r="10" spans="1:19">
      <c r="A10" s="78"/>
      <c r="B10" s="78"/>
      <c r="C10" s="78"/>
      <c r="D10" s="78"/>
      <c r="E10" s="78"/>
      <c r="F10" s="78"/>
      <c r="G10" s="65"/>
      <c r="H10" s="63" t="s">
        <v>33</v>
      </c>
      <c r="I10" s="64">
        <v>77.72</v>
      </c>
      <c r="J10" s="65" t="s">
        <v>11</v>
      </c>
      <c r="K10" s="65"/>
      <c r="L10" s="62"/>
      <c r="M10" s="71"/>
      <c r="N10" s="72"/>
      <c r="O10" s="79"/>
      <c r="P10" s="73"/>
      <c r="Q10" s="71"/>
      <c r="R10" s="72"/>
      <c r="S10" s="45"/>
    </row>
    <row r="11" spans="1:19">
      <c r="A11" s="68"/>
      <c r="B11" s="78"/>
      <c r="C11" s="78"/>
      <c r="D11" s="78"/>
      <c r="E11" s="78"/>
      <c r="F11" s="78"/>
      <c r="G11" s="65"/>
      <c r="H11" s="63" t="s">
        <v>38</v>
      </c>
      <c r="I11" s="64">
        <v>400</v>
      </c>
      <c r="J11" s="65" t="s">
        <v>11</v>
      </c>
      <c r="K11" s="65"/>
      <c r="L11" s="62"/>
      <c r="M11" s="71"/>
      <c r="N11" s="72"/>
      <c r="O11" s="79"/>
      <c r="P11" s="73"/>
      <c r="Q11" s="71"/>
      <c r="R11" s="72"/>
      <c r="S11" s="45"/>
    </row>
    <row r="12" spans="1:19">
      <c r="A12" s="68"/>
      <c r="B12" s="78"/>
      <c r="C12" s="78"/>
      <c r="D12" s="78"/>
      <c r="E12" s="78"/>
      <c r="F12" s="78"/>
      <c r="G12" s="65"/>
      <c r="H12" s="63" t="s">
        <v>47</v>
      </c>
      <c r="I12" s="64">
        <v>62</v>
      </c>
      <c r="J12" s="65" t="s">
        <v>11</v>
      </c>
      <c r="K12" s="65"/>
      <c r="L12" s="62"/>
      <c r="M12" s="71"/>
      <c r="N12" s="72"/>
      <c r="O12" s="79"/>
      <c r="P12" s="73"/>
      <c r="Q12" s="71"/>
      <c r="R12" s="72"/>
      <c r="S12" s="45"/>
    </row>
    <row r="13" spans="1:19">
      <c r="A13" s="68"/>
      <c r="B13" s="78"/>
      <c r="C13" s="78"/>
      <c r="D13" s="78"/>
      <c r="E13" s="78"/>
      <c r="F13" s="78"/>
      <c r="G13" s="65"/>
      <c r="H13" s="63" t="s">
        <v>64</v>
      </c>
      <c r="I13" s="64">
        <f>SUM(D5:D6)*0.1</f>
        <v>760.67200000000003</v>
      </c>
      <c r="J13" s="65" t="s">
        <v>11</v>
      </c>
      <c r="K13" s="65"/>
      <c r="L13" s="73"/>
      <c r="M13" s="71"/>
      <c r="N13" s="72"/>
      <c r="O13" s="79"/>
      <c r="P13" s="73"/>
      <c r="Q13" s="71"/>
      <c r="R13" s="72"/>
      <c r="S13" s="45"/>
    </row>
    <row r="14" spans="1:19">
      <c r="A14" s="78"/>
      <c r="B14" s="78"/>
      <c r="C14" s="78"/>
      <c r="D14" s="78"/>
      <c r="E14" s="76"/>
      <c r="F14" s="78"/>
      <c r="G14" s="65"/>
      <c r="H14" s="63"/>
      <c r="I14" s="64"/>
      <c r="J14" s="65"/>
      <c r="K14" s="65"/>
      <c r="L14" s="62" t="s">
        <v>3</v>
      </c>
      <c r="M14" s="75">
        <f>((M5*L5)+(M6*L6)+(M7*L7)+(M8*L8)+(M9*L9)+(M10*L10)+(M11+L11)+(M12+L12))*-1</f>
        <v>-3438.3099999999995</v>
      </c>
      <c r="N14" s="72"/>
      <c r="O14" s="73"/>
      <c r="P14" s="73"/>
      <c r="Q14" s="71"/>
      <c r="R14" s="72"/>
      <c r="S14" s="45"/>
    </row>
    <row r="15" spans="1:19">
      <c r="A15" s="78"/>
      <c r="B15" s="78"/>
      <c r="C15" s="78"/>
      <c r="D15" s="78"/>
      <c r="E15" s="76"/>
      <c r="F15" s="78"/>
      <c r="G15" s="65"/>
      <c r="H15" s="63"/>
      <c r="I15" s="64"/>
      <c r="J15" s="65"/>
      <c r="K15" s="65"/>
      <c r="L15" s="73"/>
      <c r="M15" s="71"/>
      <c r="N15" s="72"/>
      <c r="O15" s="73"/>
      <c r="P15" s="73"/>
      <c r="Q15" s="71"/>
      <c r="R15" s="72"/>
      <c r="S15" s="45"/>
    </row>
    <row r="16" spans="1:19">
      <c r="A16" s="78"/>
      <c r="B16" s="78"/>
      <c r="C16" s="78"/>
      <c r="D16" s="78"/>
      <c r="E16" s="76"/>
      <c r="F16" s="78"/>
      <c r="G16" s="65"/>
      <c r="H16" s="63"/>
      <c r="I16" s="64"/>
      <c r="J16" s="65"/>
      <c r="K16" s="65"/>
      <c r="L16" s="73"/>
      <c r="M16" s="71"/>
      <c r="N16" s="72"/>
      <c r="O16" s="73"/>
      <c r="P16" s="73"/>
      <c r="Q16" s="71"/>
      <c r="R16" s="72"/>
      <c r="S16" s="45"/>
    </row>
    <row r="17" spans="1:19" ht="30.75" customHeight="1">
      <c r="A17" s="96"/>
      <c r="B17" s="96"/>
      <c r="C17" s="96"/>
      <c r="D17" s="96"/>
      <c r="E17" s="76"/>
      <c r="F17" s="78"/>
      <c r="G17" s="65"/>
      <c r="H17" s="63"/>
      <c r="I17" s="64"/>
      <c r="J17" s="65"/>
      <c r="K17" s="65"/>
      <c r="L17" s="97"/>
      <c r="M17" s="97"/>
      <c r="N17" s="97"/>
      <c r="O17" s="97"/>
      <c r="P17" s="73"/>
      <c r="Q17" s="71"/>
      <c r="R17" s="72"/>
      <c r="S17" s="45"/>
    </row>
    <row r="18" spans="1:19">
      <c r="A18" s="62"/>
      <c r="B18" s="62"/>
      <c r="C18" s="62"/>
      <c r="D18" s="62"/>
      <c r="E18" s="76"/>
      <c r="F18" s="78"/>
      <c r="G18" s="65"/>
      <c r="H18" s="63"/>
      <c r="I18" s="64"/>
      <c r="J18" s="65"/>
      <c r="K18" s="65"/>
      <c r="L18" s="62"/>
      <c r="M18" s="62"/>
      <c r="N18" s="62"/>
      <c r="O18" s="62"/>
      <c r="P18" s="73"/>
      <c r="Q18" s="71"/>
      <c r="R18" s="72"/>
      <c r="S18" s="45"/>
    </row>
    <row r="19" spans="1:19">
      <c r="A19" s="62"/>
      <c r="B19" s="71"/>
      <c r="C19" s="72"/>
      <c r="D19" s="73"/>
      <c r="E19" s="76"/>
      <c r="F19" s="78"/>
      <c r="G19" s="65"/>
      <c r="H19" s="63"/>
      <c r="I19" s="64"/>
      <c r="J19" s="65"/>
      <c r="K19" s="65"/>
      <c r="L19" s="62"/>
      <c r="M19" s="71"/>
      <c r="N19" s="72"/>
      <c r="O19" s="73"/>
      <c r="P19" s="73"/>
      <c r="Q19" s="71"/>
      <c r="R19" s="72"/>
      <c r="S19" s="45"/>
    </row>
    <row r="20" spans="1:19">
      <c r="A20" s="62"/>
      <c r="B20" s="71"/>
      <c r="C20" s="72"/>
      <c r="D20" s="73"/>
      <c r="E20" s="76"/>
      <c r="F20" s="78"/>
      <c r="G20" s="65"/>
      <c r="H20" s="63"/>
      <c r="I20" s="64"/>
      <c r="J20" s="65"/>
      <c r="K20" s="65"/>
      <c r="L20" s="62"/>
      <c r="M20" s="71"/>
      <c r="N20" s="72"/>
      <c r="O20" s="73"/>
      <c r="P20" s="73"/>
      <c r="Q20" s="71"/>
      <c r="R20" s="72"/>
      <c r="S20" s="45"/>
    </row>
    <row r="21" spans="1:19">
      <c r="A21" s="62"/>
      <c r="B21" s="71"/>
      <c r="C21" s="72"/>
      <c r="D21" s="73"/>
      <c r="E21" s="76"/>
      <c r="F21" s="78"/>
      <c r="G21" s="65"/>
      <c r="H21" s="63"/>
      <c r="I21" s="64"/>
      <c r="J21" s="65"/>
      <c r="K21" s="65"/>
      <c r="L21" s="62"/>
      <c r="M21" s="71"/>
      <c r="N21" s="72"/>
      <c r="O21" s="73"/>
      <c r="P21" s="73"/>
      <c r="Q21" s="71"/>
      <c r="R21" s="72"/>
      <c r="S21" s="45"/>
    </row>
    <row r="22" spans="1:19">
      <c r="A22" s="62"/>
      <c r="B22" s="71"/>
      <c r="C22" s="72"/>
      <c r="D22" s="78"/>
      <c r="E22" s="78"/>
      <c r="F22" s="78"/>
      <c r="G22" s="65"/>
      <c r="H22" s="63"/>
      <c r="I22" s="64"/>
      <c r="J22" s="65"/>
      <c r="K22" s="65"/>
      <c r="L22" s="62"/>
      <c r="M22" s="71"/>
      <c r="N22" s="72"/>
      <c r="O22" s="73"/>
      <c r="P22" s="73"/>
      <c r="Q22" s="71"/>
      <c r="R22" s="72"/>
      <c r="S22" s="45"/>
    </row>
    <row r="23" spans="1:19">
      <c r="A23" s="62"/>
      <c r="B23" s="78"/>
      <c r="C23" s="78"/>
      <c r="D23" s="78"/>
      <c r="E23" s="78"/>
      <c r="F23" s="78"/>
      <c r="G23" s="65"/>
      <c r="H23" s="63"/>
      <c r="I23" s="64"/>
      <c r="J23" s="65"/>
      <c r="K23" s="65"/>
      <c r="L23" s="62"/>
      <c r="M23" s="71"/>
      <c r="N23" s="72"/>
      <c r="O23" s="73"/>
      <c r="P23" s="73"/>
      <c r="Q23" s="71"/>
      <c r="R23" s="72"/>
      <c r="S23" s="45"/>
    </row>
    <row r="24" spans="1:19">
      <c r="A24" s="62"/>
      <c r="B24" s="78"/>
      <c r="C24" s="78"/>
      <c r="D24" s="78"/>
      <c r="E24" s="78"/>
      <c r="F24" s="78"/>
      <c r="G24" s="65"/>
      <c r="H24" s="63"/>
      <c r="I24" s="64"/>
      <c r="J24" s="65"/>
      <c r="K24" s="65"/>
      <c r="L24" s="62"/>
      <c r="M24" s="71"/>
      <c r="N24" s="72"/>
      <c r="O24" s="80"/>
      <c r="P24" s="73"/>
      <c r="Q24" s="71"/>
      <c r="R24" s="72"/>
      <c r="S24" s="45"/>
    </row>
    <row r="25" spans="1:19">
      <c r="A25" s="62"/>
      <c r="B25" s="78"/>
      <c r="C25" s="78"/>
      <c r="D25" s="78"/>
      <c r="E25" s="78"/>
      <c r="F25" s="78"/>
      <c r="G25" s="65"/>
      <c r="H25" s="63"/>
      <c r="I25" s="64"/>
      <c r="J25" s="65"/>
      <c r="K25" s="65"/>
      <c r="L25" s="62"/>
      <c r="M25" s="71"/>
      <c r="N25" s="72"/>
      <c r="O25" s="73"/>
      <c r="P25" s="73"/>
      <c r="Q25" s="71"/>
      <c r="R25" s="72"/>
      <c r="S25" s="45"/>
    </row>
    <row r="26" spans="1:19">
      <c r="A26" s="62"/>
      <c r="B26" s="78"/>
      <c r="C26" s="78"/>
      <c r="D26" s="78"/>
      <c r="E26" s="78"/>
      <c r="F26" s="78"/>
      <c r="G26" s="65"/>
      <c r="H26" s="63"/>
      <c r="I26" s="64"/>
      <c r="J26" s="65"/>
      <c r="K26" s="65"/>
      <c r="L26" s="62"/>
      <c r="M26" s="71"/>
      <c r="N26" s="72"/>
      <c r="O26" s="80"/>
      <c r="P26" s="73"/>
      <c r="Q26" s="71"/>
      <c r="R26" s="72"/>
      <c r="S26" s="45"/>
    </row>
    <row r="27" spans="1:19">
      <c r="A27" s="94"/>
      <c r="B27" s="75"/>
      <c r="C27" s="78"/>
      <c r="D27" s="78"/>
      <c r="E27" s="78"/>
      <c r="F27" s="78"/>
      <c r="G27" s="65"/>
      <c r="H27" s="63"/>
      <c r="I27" s="64"/>
      <c r="J27" s="65"/>
      <c r="K27" s="65"/>
      <c r="L27" s="62"/>
      <c r="M27" s="71"/>
      <c r="N27" s="72"/>
      <c r="O27" s="73"/>
      <c r="P27" s="73"/>
      <c r="Q27" s="71"/>
      <c r="R27" s="72"/>
      <c r="S27" s="45"/>
    </row>
    <row r="28" spans="1:19">
      <c r="A28" s="94"/>
      <c r="B28" s="75"/>
      <c r="C28" s="78"/>
      <c r="D28" s="78"/>
      <c r="E28" s="78"/>
      <c r="F28" s="78"/>
      <c r="G28" s="65"/>
      <c r="H28" s="63"/>
      <c r="I28" s="64"/>
      <c r="J28" s="65"/>
      <c r="K28" s="65"/>
      <c r="L28" s="62"/>
      <c r="M28" s="71"/>
      <c r="N28" s="72"/>
      <c r="O28" s="73"/>
      <c r="P28" s="73"/>
      <c r="Q28" s="71"/>
      <c r="R28" s="72"/>
      <c r="S28" s="45"/>
    </row>
    <row r="29" spans="1:19">
      <c r="A29" s="65"/>
      <c r="B29" s="78"/>
      <c r="C29" s="65"/>
      <c r="D29" s="65"/>
      <c r="E29" s="65"/>
      <c r="F29" s="65"/>
      <c r="G29" s="65"/>
      <c r="H29" s="63"/>
      <c r="I29" s="64"/>
      <c r="J29" s="65"/>
      <c r="K29" s="65"/>
      <c r="L29" s="62"/>
      <c r="M29" s="71"/>
      <c r="N29" s="72"/>
      <c r="O29" s="73"/>
      <c r="P29" s="73"/>
      <c r="Q29" s="71"/>
      <c r="R29" s="72"/>
      <c r="S29" s="45"/>
    </row>
    <row r="30" spans="1:19">
      <c r="A30" s="65"/>
      <c r="B30" s="78"/>
      <c r="C30" s="65"/>
      <c r="D30" s="65"/>
      <c r="E30" s="65"/>
      <c r="F30" s="65"/>
      <c r="G30" s="65"/>
      <c r="H30" s="63"/>
      <c r="I30" s="64"/>
      <c r="J30" s="65"/>
      <c r="K30" s="65"/>
      <c r="L30" s="62"/>
      <c r="M30" s="71"/>
      <c r="N30" s="72"/>
      <c r="O30" s="73"/>
      <c r="P30" s="73"/>
      <c r="Q30" s="71"/>
      <c r="R30" s="72"/>
      <c r="S30" s="45"/>
    </row>
    <row r="31" spans="1:19">
      <c r="A31" s="45"/>
      <c r="B31" s="25"/>
      <c r="C31" s="45"/>
      <c r="D31" s="45"/>
      <c r="E31" s="45"/>
      <c r="F31" s="45"/>
      <c r="G31" s="45"/>
      <c r="H31" s="43"/>
      <c r="I31" s="44"/>
      <c r="J31" s="45"/>
      <c r="K31" s="45"/>
      <c r="L31" s="42"/>
      <c r="M31" s="51"/>
      <c r="N31" s="52"/>
      <c r="O31" s="53"/>
      <c r="P31" s="53"/>
      <c r="Q31" s="51"/>
      <c r="R31" s="52"/>
      <c r="S31" s="45"/>
    </row>
    <row r="32" spans="1:19">
      <c r="A32" s="45"/>
      <c r="B32" s="25"/>
      <c r="C32" s="45"/>
      <c r="D32" s="45"/>
      <c r="E32" s="45"/>
      <c r="F32" s="45"/>
      <c r="G32" s="45"/>
      <c r="H32" s="43"/>
      <c r="I32" s="44"/>
      <c r="J32" s="45"/>
      <c r="K32" s="45"/>
      <c r="L32" s="53"/>
      <c r="M32" s="51"/>
      <c r="N32" s="52"/>
      <c r="O32" s="53"/>
      <c r="P32" s="53"/>
      <c r="Q32" s="51"/>
      <c r="R32" s="52"/>
      <c r="S32" s="45"/>
    </row>
    <row r="33" spans="1:19">
      <c r="A33" s="45"/>
      <c r="B33" s="25"/>
      <c r="C33" s="45"/>
      <c r="D33" s="45"/>
      <c r="E33" s="45"/>
      <c r="F33" s="45"/>
      <c r="G33" s="45"/>
      <c r="H33" s="43"/>
      <c r="I33" s="44"/>
      <c r="J33" s="45"/>
      <c r="K33" s="45"/>
      <c r="L33" s="53"/>
      <c r="M33" s="51"/>
      <c r="N33" s="52"/>
      <c r="O33" s="53"/>
      <c r="P33" s="53"/>
      <c r="Q33" s="51"/>
      <c r="R33" s="52"/>
      <c r="S33" s="45"/>
    </row>
    <row r="34" spans="1:19">
      <c r="A34" s="45"/>
      <c r="B34" s="25"/>
      <c r="C34" s="45"/>
      <c r="D34" s="45"/>
      <c r="E34" s="45"/>
      <c r="F34" s="45"/>
      <c r="G34" s="45"/>
      <c r="H34" s="43"/>
      <c r="I34" s="44"/>
      <c r="J34" s="45"/>
      <c r="K34" s="45"/>
      <c r="L34" s="53"/>
      <c r="M34" s="51"/>
      <c r="N34" s="52"/>
      <c r="O34" s="53"/>
      <c r="P34" s="53"/>
      <c r="Q34" s="51"/>
      <c r="R34" s="52"/>
      <c r="S34" s="45"/>
    </row>
    <row r="35" spans="1:19">
      <c r="A35" s="45"/>
      <c r="B35" s="25"/>
      <c r="C35" s="45"/>
      <c r="D35" s="45"/>
      <c r="E35" s="45"/>
      <c r="F35" s="45"/>
      <c r="G35" s="45"/>
      <c r="H35" s="43"/>
      <c r="I35" s="44"/>
      <c r="J35" s="45"/>
      <c r="K35" s="45"/>
      <c r="L35" s="53"/>
      <c r="M35" s="51"/>
      <c r="N35" s="52"/>
      <c r="O35" s="53"/>
      <c r="P35" s="53"/>
      <c r="Q35" s="51"/>
      <c r="R35" s="52"/>
      <c r="S35" s="45"/>
    </row>
    <row r="36" spans="1:19">
      <c r="A36" s="45"/>
      <c r="B36" s="25"/>
      <c r="C36" s="45"/>
      <c r="D36" s="45"/>
      <c r="E36" s="45"/>
      <c r="F36" s="45"/>
      <c r="G36" s="45"/>
      <c r="H36" s="43"/>
      <c r="I36" s="44"/>
      <c r="J36" s="45"/>
      <c r="K36" s="45"/>
      <c r="L36" s="53"/>
      <c r="M36" s="51"/>
      <c r="N36" s="52"/>
      <c r="O36" s="53"/>
      <c r="P36" s="53"/>
      <c r="Q36" s="51"/>
      <c r="R36" s="52"/>
      <c r="S36" s="45"/>
    </row>
    <row r="37" spans="1:19">
      <c r="A37" s="45"/>
      <c r="B37" s="25"/>
      <c r="C37" s="45"/>
      <c r="D37" s="45"/>
      <c r="E37" s="45"/>
      <c r="F37" s="45"/>
      <c r="G37" s="45"/>
      <c r="H37" s="43"/>
      <c r="I37" s="44"/>
      <c r="J37" s="45"/>
      <c r="K37" s="45"/>
      <c r="L37" s="53"/>
      <c r="M37" s="51"/>
      <c r="N37" s="52"/>
      <c r="O37" s="53"/>
      <c r="P37" s="53"/>
      <c r="Q37" s="51"/>
      <c r="R37" s="52"/>
      <c r="S37" s="45"/>
    </row>
    <row r="38" spans="1:19">
      <c r="A38" s="45"/>
      <c r="B38" s="25"/>
      <c r="C38" s="45"/>
      <c r="D38" s="45"/>
      <c r="E38" s="45"/>
      <c r="F38" s="45"/>
      <c r="G38" s="45"/>
      <c r="H38" s="43"/>
      <c r="I38" s="44"/>
      <c r="J38" s="45"/>
      <c r="K38" s="45"/>
      <c r="L38" s="53"/>
      <c r="M38" s="51"/>
      <c r="N38" s="52"/>
      <c r="O38" s="53"/>
      <c r="P38" s="53"/>
      <c r="Q38" s="51"/>
      <c r="R38" s="52"/>
      <c r="S38" s="45"/>
    </row>
    <row r="39" spans="1:19">
      <c r="A39" s="45"/>
      <c r="B39" s="25"/>
      <c r="C39" s="45"/>
      <c r="D39" s="45"/>
      <c r="E39" s="45"/>
      <c r="F39" s="45"/>
      <c r="G39" s="45"/>
      <c r="H39" s="43"/>
      <c r="I39" s="44"/>
      <c r="J39" s="45"/>
      <c r="K39" s="45"/>
      <c r="L39" s="53"/>
      <c r="M39" s="51"/>
      <c r="N39" s="52"/>
      <c r="O39" s="53"/>
      <c r="P39" s="53"/>
      <c r="Q39" s="51"/>
      <c r="R39" s="52"/>
      <c r="S39" s="45"/>
    </row>
    <row r="40" spans="1:19">
      <c r="A40" s="45"/>
      <c r="B40" s="25"/>
      <c r="C40" s="45"/>
      <c r="D40" s="45"/>
      <c r="E40" s="45"/>
      <c r="F40" s="45"/>
      <c r="G40" s="45"/>
      <c r="H40" s="43"/>
      <c r="I40" s="44"/>
      <c r="J40" s="45"/>
      <c r="K40" s="45"/>
      <c r="L40" s="53"/>
      <c r="M40" s="51"/>
      <c r="N40" s="52"/>
      <c r="O40" s="53"/>
      <c r="P40" s="53"/>
      <c r="Q40" s="51"/>
      <c r="R40" s="52"/>
      <c r="S40" s="45"/>
    </row>
    <row r="41" spans="1:19">
      <c r="A41" s="45"/>
      <c r="B41" s="25"/>
      <c r="C41" s="45"/>
      <c r="D41" s="45"/>
      <c r="E41" s="45"/>
      <c r="F41" s="45"/>
      <c r="G41" s="45"/>
      <c r="H41" s="43"/>
      <c r="I41" s="44"/>
      <c r="J41" s="45"/>
      <c r="K41" s="45"/>
      <c r="L41" s="53"/>
      <c r="M41" s="51"/>
      <c r="N41" s="52"/>
      <c r="O41" s="53"/>
      <c r="P41" s="53"/>
      <c r="Q41" s="51"/>
      <c r="R41" s="52"/>
      <c r="S41" s="45"/>
    </row>
  </sheetData>
  <mergeCells count="11">
    <mergeCell ref="P1:R1"/>
    <mergeCell ref="A2:E2"/>
    <mergeCell ref="H2:I2"/>
    <mergeCell ref="L2:N2"/>
    <mergeCell ref="P2:R2"/>
    <mergeCell ref="E5:E6"/>
    <mergeCell ref="A17:D17"/>
    <mergeCell ref="L17:O17"/>
    <mergeCell ref="A1:E1"/>
    <mergeCell ref="H1:I1"/>
    <mergeCell ref="L1:N1"/>
  </mergeCells>
  <conditionalFormatting sqref="A2:F3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Batista Da Silva</dc:creator>
  <cp:keywords/>
  <dc:description/>
  <cp:lastModifiedBy/>
  <cp:revision/>
  <dcterms:created xsi:type="dcterms:W3CDTF">2020-11-30T23:06:59Z</dcterms:created>
  <dcterms:modified xsi:type="dcterms:W3CDTF">2026-10-22T12:49:30Z</dcterms:modified>
  <cp:category/>
  <cp:contentStatus/>
</cp:coreProperties>
</file>